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เวิร์กบุ๊กนี้"/>
  <mc:AlternateContent xmlns:mc="http://schemas.openxmlformats.org/markup-compatibility/2006">
    <mc:Choice Requires="x15">
      <x15ac:absPath xmlns:x15ac="http://schemas.microsoft.com/office/spreadsheetml/2010/11/ac" url="Z:\MOU ส่วนงาน\2569\ส่งผลคะแนน HR\"/>
    </mc:Choice>
  </mc:AlternateContent>
  <xr:revisionPtr revIDLastSave="0" documentId="13_ncr:1_{E52DD867-F11B-4B9D-BE0E-916BD4470F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คะแนน 4 หลัก " sheetId="60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'คะแนน 4 หลัก '!$B$2:$E$34</definedName>
    <definedName name="_xlnm.Print_Area" localSheetId="0">'คะแนน 4 หลัก '!$B$1:$E$34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60" l="1"/>
  <c r="E34" i="60"/>
  <c r="E33" i="60"/>
  <c r="E32" i="60"/>
  <c r="E31" i="60"/>
  <c r="E30" i="60"/>
  <c r="E29" i="60"/>
  <c r="E28" i="60"/>
  <c r="E26" i="60"/>
  <c r="E25" i="60"/>
  <c r="E24" i="60"/>
  <c r="E23" i="60"/>
  <c r="E22" i="60"/>
  <c r="E21" i="60"/>
  <c r="E20" i="60"/>
  <c r="E19" i="60"/>
  <c r="E18" i="60"/>
  <c r="E17" i="60"/>
  <c r="E16" i="60"/>
  <c r="E15" i="60"/>
  <c r="E14" i="60"/>
  <c r="E13" i="60"/>
  <c r="E12" i="60"/>
  <c r="E11" i="60"/>
  <c r="E10" i="60"/>
  <c r="E9" i="60"/>
  <c r="E8" i="60"/>
  <c r="E7" i="60"/>
  <c r="E6" i="60"/>
  <c r="E5" i="60"/>
  <c r="E4" i="60"/>
  <c r="E3" i="60"/>
  <c r="D25" i="60" l="1"/>
  <c r="D27" i="60"/>
  <c r="D14" i="60"/>
  <c r="D11" i="60"/>
  <c r="D12" i="60"/>
  <c r="D16" i="60"/>
  <c r="D22" i="60"/>
  <c r="D24" i="60"/>
  <c r="D17" i="60"/>
  <c r="D26" i="60"/>
  <c r="D8" i="60"/>
  <c r="D20" i="60"/>
  <c r="D13" i="60"/>
  <c r="D9" i="60"/>
  <c r="D7" i="60"/>
  <c r="D32" i="60" l="1"/>
  <c r="D19" i="60"/>
  <c r="D30" i="60"/>
  <c r="D33" i="60"/>
  <c r="D28" i="60"/>
  <c r="D18" i="60"/>
  <c r="D29" i="60"/>
  <c r="D34" i="60"/>
  <c r="D31" i="60"/>
  <c r="D21" i="60"/>
  <c r="D5" i="60" l="1"/>
  <c r="D23" i="60"/>
  <c r="D3" i="60"/>
  <c r="D15" i="60"/>
  <c r="D6" i="60"/>
  <c r="D4" i="60"/>
  <c r="D10" i="60"/>
</calcChain>
</file>

<file path=xl/sharedStrings.xml><?xml version="1.0" encoding="utf-8"?>
<sst xmlns="http://schemas.openxmlformats.org/spreadsheetml/2006/main" count="37" uniqueCount="37">
  <si>
    <t>สผว.</t>
  </si>
  <si>
    <t>ลำดับ</t>
  </si>
  <si>
    <t>หน่วยธุรกิจ</t>
  </si>
  <si>
    <t>ส่วนงาน</t>
  </si>
  <si>
    <t>กจร.6</t>
  </si>
  <si>
    <t>กยท.ข.กอ.</t>
  </si>
  <si>
    <t>กยท.ข.น.</t>
  </si>
  <si>
    <t>กยท.ข.อนล.</t>
  </si>
  <si>
    <t>กจม.</t>
  </si>
  <si>
    <t>กจร.1</t>
  </si>
  <si>
    <t>กยท.ข.อนบ.</t>
  </si>
  <si>
    <t>กจส.2</t>
  </si>
  <si>
    <t>กจส.3</t>
  </si>
  <si>
    <t>กยท.ข.ตล.</t>
  </si>
  <si>
    <t>กยท.ข.ตก.</t>
  </si>
  <si>
    <t>กจส.1</t>
  </si>
  <si>
    <t>กจร.5</t>
  </si>
  <si>
    <t>กจร.4</t>
  </si>
  <si>
    <t>กจร.2</t>
  </si>
  <si>
    <t>กจร.3</t>
  </si>
  <si>
    <t>เอกสารแนบ</t>
  </si>
  <si>
    <t>คะแนนถ่วงน้ำหนักของส่วนงาน (MOU)</t>
  </si>
  <si>
    <t>คะแนนถ่วงน้ำหนักของส่วนงานที่รับผิดชอบตัวชี้วัดองค์กร (PA)</t>
  </si>
  <si>
    <t>หกป.</t>
  </si>
  <si>
    <t>ฝยศ.</t>
  </si>
  <si>
    <t>ฝกม.</t>
  </si>
  <si>
    <t>สวย.</t>
  </si>
  <si>
    <t>สตส.</t>
  </si>
  <si>
    <t>ฝพก.</t>
  </si>
  <si>
    <t>ฝอย.</t>
  </si>
  <si>
    <t>ฝศย.</t>
  </si>
  <si>
    <t>ฝสผ.</t>
  </si>
  <si>
    <t>ฝกค.</t>
  </si>
  <si>
    <t>ฝบท.</t>
  </si>
  <si>
    <t>ฝทม.</t>
  </si>
  <si>
    <t>ฝทส.</t>
  </si>
  <si>
    <t>กยท.ข.ตบ.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</si>
</sst>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(* #,##0.00_);_(* \(#,##0.00\);_(* &quot;-&quot;??_);_(@_)"/>
    <numFmt numFmtId="188" formatCode="0.0000"/>
    <numFmt numFmtId="189" formatCode="_-* #,##0.0000_-;\-* #,##0.00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rgb="FFFF0000"/>
      <name val="TH SarabunIT๙"/>
      <family val="2"/>
    </font>
    <font>
      <sz val="11"/>
      <color rgb="FFFF0000"/>
      <name val="Tahoma"/>
      <family val="2"/>
      <charset val="222"/>
      <scheme val="minor"/>
    </font>
    <font>
      <sz val="11"/>
      <color rgb="FFFF0000"/>
      <name val="Angsana New"/>
      <family val="1"/>
    </font>
    <font>
      <sz val="16"/>
      <color rgb="FFFF0000"/>
      <name val="Angsana New"/>
      <family val="1"/>
    </font>
    <font>
      <sz val="16"/>
      <color rgb="FFFF0000"/>
      <name val="TH SarabunIT๙"/>
      <family val="2"/>
    </font>
    <font>
      <b/>
      <sz val="16"/>
      <color rgb="FFFF0000"/>
      <name val="Angsana New"/>
      <family val="1"/>
    </font>
    <font>
      <b/>
      <sz val="16"/>
      <color rgb="FFFF0000"/>
      <name val="TH SarabunIT๙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187" fontId="2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88" fontId="7" fillId="0" borderId="0" xfId="0" applyNumberFormat="1" applyFont="1" applyAlignment="1">
      <alignment horizontal="right" vertical="top"/>
    </xf>
    <xf numFmtId="0" fontId="4" fillId="0" borderId="0" xfId="0" applyFont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89" fontId="7" fillId="0" borderId="1" xfId="0" applyNumberFormat="1" applyFont="1" applyBorder="1"/>
    <xf numFmtId="189" fontId="7" fillId="0" borderId="1" xfId="0" applyNumberFormat="1" applyFont="1" applyBorder="1" applyAlignment="1">
      <alignment horizontal="center" vertical="center"/>
    </xf>
  </cellXfs>
  <cellStyles count="4">
    <cellStyle name="Comma 2" xfId="2" xr:uid="{00000000-0005-0000-0000-000000000000}"/>
    <cellStyle name="Normal 2" xfId="1" xr:uid="{00000000-0005-0000-0000-000001000000}"/>
    <cellStyle name="ปกติ" xfId="0" builtinId="0"/>
    <cellStyle name="ปกติ 2" xfId="3" xr:uid="{00000000-0005-0000-0000-000003000000}"/>
  </cellStyles>
  <dxfs count="0"/>
  <tableStyles count="0" defaultTableStyle="TableStyleMedium9" defaultPivotStyle="PivotStyleLight16"/>
  <colors>
    <mruColors>
      <color rgb="FFF7F4B7"/>
      <color rgb="FFFFCC99"/>
      <color rgb="FFFFFFCC"/>
      <color rgb="FFF3EF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568/&#3626;&#3656;&#3591;&#3612;&#3621;&#3588;&#3632;&#3649;&#3609;&#3609;%20HR/&#3588;&#3632;&#3649;&#3609;&#3609;%20MOU%20&#3648;&#3586;&#3605;%2068%20&#3627;&#3621;&#3633;&#3591;&#3629;&#3640;&#3607;&#3608;&#3619;&#3603;&#3660;.xlsx" TargetMode="External"/><Relationship Id="rId2" Type="http://schemas.openxmlformats.org/officeDocument/2006/relationships/externalLinkPath" Target="file:///Z:\MOU%20&#3626;&#3656;&#3623;&#3609;&#3591;&#3634;&#3609;\2568\&#3626;&#3656;&#3591;&#3612;&#3621;&#3588;&#3632;&#3649;&#3609;&#3609;%20HR\&#3588;&#3632;&#3649;&#3609;&#3609;%20MOU%20&#3648;&#3586;&#3605;%2068%20&#3627;&#3621;&#3633;&#3591;&#3629;&#3640;&#3607;&#3608;&#3619;&#3603;&#3660;.xlsx" TargetMode="External"/><Relationship Id="rId1" Type="http://schemas.openxmlformats.org/officeDocument/2006/relationships/externalLinkPath" Target="/MOU%20&#3626;&#3656;&#3623;&#3609;&#3591;&#3634;&#3609;/2568/&#3626;&#3656;&#3591;&#3612;&#3621;&#3588;&#3632;&#3649;&#3609;&#3609;%20HR/&#3588;&#3632;&#3649;&#3609;&#3609;%20MOU%20&#3648;&#3586;&#3605;%2068%20&#3627;&#3621;&#3633;&#3591;&#3629;&#3640;&#3607;&#3608;&#3619;&#3603;&#3660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568/&#3585;&#3634;&#3619;&#3629;&#3640;&#3607;&#3608;&#3619;&#3603;&#3660;/&#3585;&#3619;&#3632;&#3592;&#3634;&#3618;&#3605;&#3633;&#3623;&#3594;&#3637;&#3657;&#3623;&#3633;&#3604;&#3651;&#3627;&#3657;&#3626;&#3656;&#3623;&#3609;&#3591;&#3634;&#3609;%202568.xlsx" TargetMode="External"/><Relationship Id="rId2" Type="http://schemas.openxmlformats.org/officeDocument/2006/relationships/externalLinkPath" Target="file:///Z:\MOU%20&#3626;&#3656;&#3623;&#3609;&#3591;&#3634;&#3609;\2568\&#3585;&#3634;&#3619;&#3629;&#3640;&#3607;&#3608;&#3619;&#3603;&#3660;\&#3585;&#3619;&#3632;&#3592;&#3634;&#3618;&#3605;&#3633;&#3623;&#3594;&#3637;&#3657;&#3623;&#3633;&#3604;&#3651;&#3627;&#3657;&#3626;&#3656;&#3623;&#3609;&#3591;&#3634;&#3609;%202568.xlsx" TargetMode="External"/><Relationship Id="rId1" Type="http://schemas.openxmlformats.org/officeDocument/2006/relationships/externalLinkPath" Target="/MOU%20&#3626;&#3656;&#3623;&#3609;&#3591;&#3634;&#3609;/2568/&#3585;&#3634;&#3619;&#3629;&#3640;&#3607;&#3608;&#3619;&#3603;&#3660;/&#3585;&#3619;&#3632;&#3592;&#3634;&#3618;&#3605;&#3633;&#3623;&#3594;&#3637;&#3657;&#3623;&#3633;&#3604;&#3651;&#3627;&#3657;&#3626;&#3656;&#3623;&#3609;&#3591;&#3634;&#3609;%202568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568/&#3585;&#3634;&#3619;&#3629;&#3640;&#3607;&#3608;&#3619;&#3603;&#3660;/&#3588;&#3632;&#3649;&#3609;&#3609;%20MOU%20&#3626;&#3656;&#3623;&#3609;&#3585;&#3621;&#3634;&#3591;%202568%20&#3627;&#3621;&#3633;&#3591;&#3629;&#3640;&#3607;&#3608;&#3619;&#3603;&#3660;.xlsx" TargetMode="External"/><Relationship Id="rId2" Type="http://schemas.openxmlformats.org/officeDocument/2006/relationships/externalLinkPath" Target="file:///Z:\MOU%20&#3626;&#3656;&#3623;&#3609;&#3591;&#3634;&#3609;\2568\&#3585;&#3634;&#3619;&#3629;&#3640;&#3607;&#3608;&#3619;&#3603;&#3660;\&#3588;&#3632;&#3649;&#3609;&#3609;%20MOU%20&#3626;&#3656;&#3623;&#3609;&#3585;&#3621;&#3634;&#3591;%202568%20&#3627;&#3621;&#3633;&#3591;&#3629;&#3640;&#3607;&#3608;&#3619;&#3603;&#3660;.xlsx" TargetMode="External"/><Relationship Id="rId1" Type="http://schemas.openxmlformats.org/officeDocument/2006/relationships/externalLinkPath" Target="/MOU%20&#3626;&#3656;&#3623;&#3609;&#3591;&#3634;&#3609;/2568/&#3585;&#3634;&#3619;&#3629;&#3640;&#3607;&#3608;&#3619;&#3603;&#3660;/&#3588;&#3632;&#3649;&#3609;&#3609;%20MOU%20&#3626;&#3656;&#3623;&#3609;&#3585;&#3621;&#3634;&#3591;%202568%20&#3627;&#3621;&#3633;&#3591;&#3629;&#3640;&#3607;&#3608;&#3619;&#3603;&#3660;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568/&#3626;&#3656;&#3591;&#3612;&#3621;&#3588;&#3632;&#3649;&#3609;&#3609;%20HR/&#3588;&#3632;&#3649;&#3609;&#3609;%20MOU%20&#3585;&#3592;&#3619;%20&#3585;&#3592;&#3626;%20&#3585;&#3592;&#3617;%2068%20&#3627;&#3621;&#3633;&#3591;&#3629;&#3640;&#3607;&#3608;&#3619;&#3603;&#3660;.xlsx" TargetMode="External"/><Relationship Id="rId2" Type="http://schemas.openxmlformats.org/officeDocument/2006/relationships/externalLinkPath" Target="file:///Z:\MOU%20&#3626;&#3656;&#3623;&#3609;&#3591;&#3634;&#3609;\2568\&#3626;&#3656;&#3591;&#3612;&#3621;&#3588;&#3632;&#3649;&#3609;&#3609;%20HR\&#3588;&#3632;&#3649;&#3609;&#3609;%20MOU%20&#3585;&#3592;&#3619;%20&#3585;&#3592;&#3626;%20&#3585;&#3592;&#3617;%2068%20&#3627;&#3621;&#3633;&#3591;&#3629;&#3640;&#3607;&#3608;&#3619;&#3603;&#3660;.xlsx" TargetMode="External"/><Relationship Id="rId1" Type="http://schemas.openxmlformats.org/officeDocument/2006/relationships/externalLinkPath" Target="/MOU%20&#3626;&#3656;&#3623;&#3609;&#3591;&#3634;&#3609;/2568/&#3626;&#3656;&#3591;&#3612;&#3621;&#3588;&#3632;&#3649;&#3609;&#3609;%20HR/&#3588;&#3632;&#3649;&#3609;&#3609;%20MOU%20&#3585;&#3592;&#3619;%20&#3585;&#3592;&#3626;%20&#3585;&#3592;&#3617;%2068%20&#3627;&#3621;&#3633;&#3591;&#3629;&#3640;&#3607;&#3608;&#3619;&#3603;&#36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น"/>
      <sheetName val="อนบ"/>
      <sheetName val="อนล"/>
      <sheetName val="กอ"/>
      <sheetName val="ตบ"/>
      <sheetName val="ตก"/>
      <sheetName val="ตล"/>
      <sheetName val="รวม"/>
      <sheetName val="กราฟ"/>
    </sheetNames>
    <sheetDataSet>
      <sheetData sheetId="0">
        <row r="24">
          <cell r="P24">
            <v>4.0707100000000001</v>
          </cell>
        </row>
      </sheetData>
      <sheetData sheetId="1">
        <row r="24">
          <cell r="P24">
            <v>3.3688600000000002</v>
          </cell>
        </row>
      </sheetData>
      <sheetData sheetId="2">
        <row r="22">
          <cell r="P22">
            <v>4.8274400000000002</v>
          </cell>
        </row>
      </sheetData>
      <sheetData sheetId="3">
        <row r="22">
          <cell r="P22">
            <v>4.5258650000000005</v>
          </cell>
        </row>
      </sheetData>
      <sheetData sheetId="4">
        <row r="22">
          <cell r="P22">
            <v>4.9450000000000003</v>
          </cell>
        </row>
      </sheetData>
      <sheetData sheetId="5">
        <row r="22">
          <cell r="P22">
            <v>4.9350000000000005</v>
          </cell>
        </row>
      </sheetData>
      <sheetData sheetId="6">
        <row r="22">
          <cell r="P22">
            <v>4.7299999999999995</v>
          </cell>
        </row>
      </sheetData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กระจายตัวชี้วัดให้ส่วนงาน"/>
      <sheetName val="Sheet1"/>
    </sheetNames>
    <sheetDataSet>
      <sheetData sheetId="0"/>
      <sheetData sheetId="1">
        <row r="2">
          <cell r="C2">
            <v>8.0953088580827073E-2</v>
          </cell>
        </row>
        <row r="3">
          <cell r="C3">
            <v>8.3225815853554347E-2</v>
          </cell>
        </row>
        <row r="4">
          <cell r="C4">
            <v>8.3225815853554347E-2</v>
          </cell>
        </row>
        <row r="5">
          <cell r="C5">
            <v>6.309594572368421E-2</v>
          </cell>
        </row>
        <row r="6">
          <cell r="C6">
            <v>6.5368672996411484E-2</v>
          </cell>
        </row>
        <row r="7">
          <cell r="C7">
            <v>3.9052883522727268E-2</v>
          </cell>
        </row>
        <row r="8">
          <cell r="C8">
            <v>8.3225815853554347E-2</v>
          </cell>
        </row>
        <row r="9">
          <cell r="C9">
            <v>8.3225815853554347E-2</v>
          </cell>
        </row>
        <row r="10">
          <cell r="C10">
            <v>8.3225815853554347E-2</v>
          </cell>
        </row>
        <row r="11">
          <cell r="C11">
            <v>8.3225815853554347E-2</v>
          </cell>
        </row>
        <row r="12">
          <cell r="C12">
            <v>0.21467422855196702</v>
          </cell>
        </row>
        <row r="13">
          <cell r="C13">
            <v>0.21467422855196702</v>
          </cell>
        </row>
        <row r="14">
          <cell r="C14">
            <v>0.21467422855196702</v>
          </cell>
        </row>
        <row r="15">
          <cell r="C15">
            <v>0.21467422855196702</v>
          </cell>
        </row>
        <row r="16">
          <cell r="C16">
            <v>0.21467422855196702</v>
          </cell>
        </row>
        <row r="17">
          <cell r="C17">
            <v>0.21467422855196702</v>
          </cell>
        </row>
        <row r="18">
          <cell r="C18">
            <v>0.21467422855196702</v>
          </cell>
        </row>
        <row r="19">
          <cell r="C19">
            <v>3.6780156250000001E-2</v>
          </cell>
        </row>
        <row r="20">
          <cell r="C20">
            <v>3.6780156250000001E-2</v>
          </cell>
        </row>
        <row r="21">
          <cell r="C21">
            <v>3.6780156250000001E-2</v>
          </cell>
        </row>
        <row r="22">
          <cell r="C22">
            <v>3.9052883522727268E-2</v>
          </cell>
        </row>
        <row r="23">
          <cell r="C23">
            <v>3.9052883522727268E-2</v>
          </cell>
        </row>
        <row r="24">
          <cell r="C24">
            <v>0.12585843907828281</v>
          </cell>
        </row>
        <row r="25">
          <cell r="C25">
            <v>3.6780156250000001E-2</v>
          </cell>
        </row>
        <row r="26">
          <cell r="C26">
            <v>9.6618672996411484E-2</v>
          </cell>
        </row>
        <row r="27">
          <cell r="C27">
            <v>0.12358571180555555</v>
          </cell>
        </row>
        <row r="28">
          <cell r="C28">
            <v>0.31536867299641153</v>
          </cell>
        </row>
        <row r="29">
          <cell r="C29">
            <v>3.6780156250000001E-2</v>
          </cell>
        </row>
        <row r="30">
          <cell r="C30">
            <v>3.6780156250000001E-2</v>
          </cell>
        </row>
        <row r="31">
          <cell r="C31">
            <v>0.28905288352272729</v>
          </cell>
        </row>
        <row r="32">
          <cell r="C32">
            <v>6.5368672996411484E-2</v>
          </cell>
        </row>
        <row r="33">
          <cell r="C33">
            <v>3.6780156250000001E-2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สผว"/>
      <sheetName val="สตส"/>
      <sheetName val="ฝกม"/>
      <sheetName val="ฝยศ"/>
      <sheetName val="ฝกค"/>
      <sheetName val="ฝทม"/>
      <sheetName val="ฝทส"/>
      <sheetName val="ฝบท"/>
      <sheetName val="ฝพก"/>
      <sheetName val="ฝสผ"/>
      <sheetName val="ฝศย."/>
      <sheetName val="ฝอย."/>
      <sheetName val="สวย"/>
      <sheetName val="หกป"/>
      <sheetName val="BU"/>
      <sheetName val="คะแนนส่วนกลาง"/>
    </sheetNames>
    <sheetDataSet>
      <sheetData sheetId="0">
        <row r="20">
          <cell r="P20">
            <v>4.7060599999999999</v>
          </cell>
        </row>
      </sheetData>
      <sheetData sheetId="1">
        <row r="18">
          <cell r="P18">
            <v>4.5469999999999997</v>
          </cell>
        </row>
      </sheetData>
      <sheetData sheetId="2">
        <row r="18">
          <cell r="P18">
            <v>4.2524999999999995</v>
          </cell>
        </row>
      </sheetData>
      <sheetData sheetId="3">
        <row r="18">
          <cell r="S18">
            <v>4.4566699999999999</v>
          </cell>
        </row>
      </sheetData>
      <sheetData sheetId="4">
        <row r="19">
          <cell r="S19">
            <v>4.6508000000000003</v>
          </cell>
        </row>
      </sheetData>
      <sheetData sheetId="5">
        <row r="23">
          <cell r="P23">
            <v>3.6491200000000004</v>
          </cell>
        </row>
      </sheetData>
      <sheetData sheetId="6">
        <row r="22">
          <cell r="P22">
            <v>2.8149999999999999</v>
          </cell>
        </row>
      </sheetData>
      <sheetData sheetId="7">
        <row r="24">
          <cell r="P24">
            <v>3.8653449999999996</v>
          </cell>
        </row>
      </sheetData>
      <sheetData sheetId="8">
        <row r="24">
          <cell r="P24">
            <v>3.2507999999999999</v>
          </cell>
        </row>
      </sheetData>
      <sheetData sheetId="9">
        <row r="22">
          <cell r="P22">
            <v>3.9316999999999998</v>
          </cell>
        </row>
      </sheetData>
      <sheetData sheetId="10">
        <row r="23">
          <cell r="P23">
            <v>3.3858800000000007</v>
          </cell>
        </row>
      </sheetData>
      <sheetData sheetId="11">
        <row r="22">
          <cell r="P22">
            <v>4.3975299999999997</v>
          </cell>
        </row>
      </sheetData>
      <sheetData sheetId="12">
        <row r="24">
          <cell r="P24">
            <v>4.1976100000000001</v>
          </cell>
        </row>
      </sheetData>
      <sheetData sheetId="13">
        <row r="20">
          <cell r="P20">
            <v>2.8106599999999999</v>
          </cell>
        </row>
      </sheetData>
      <sheetData sheetId="14">
        <row r="23">
          <cell r="P23">
            <v>2.8328300000000004</v>
          </cell>
        </row>
      </sheetData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กจร.1"/>
      <sheetName val="กจร.2"/>
      <sheetName val="กจร.3"/>
      <sheetName val="กจร.4"/>
      <sheetName val="กจร.5"/>
      <sheetName val="กจร.6"/>
      <sheetName val="กจส.1"/>
      <sheetName val="กจส.2"/>
      <sheetName val="กจส.3"/>
      <sheetName val="กจม."/>
      <sheetName val="คะแนน"/>
      <sheetName val="กราฟ"/>
    </sheetNames>
    <sheetDataSet>
      <sheetData sheetId="0">
        <row r="22">
          <cell r="P22">
            <v>3.4174300000000004</v>
          </cell>
        </row>
      </sheetData>
      <sheetData sheetId="1">
        <row r="24">
          <cell r="P24">
            <v>2.1390099999999999</v>
          </cell>
        </row>
      </sheetData>
      <sheetData sheetId="2">
        <row r="20">
          <cell r="P20">
            <v>1.4384399999999999</v>
          </cell>
        </row>
      </sheetData>
      <sheetData sheetId="3">
        <row r="24">
          <cell r="P24">
            <v>2.3433000000000002</v>
          </cell>
        </row>
      </sheetData>
      <sheetData sheetId="4">
        <row r="24">
          <cell r="P24">
            <v>3.8</v>
          </cell>
        </row>
      </sheetData>
      <sheetData sheetId="5">
        <row r="22">
          <cell r="P22">
            <v>2.5417399999999999</v>
          </cell>
        </row>
      </sheetData>
      <sheetData sheetId="6">
        <row r="22">
          <cell r="P22">
            <v>1.7877299999999998</v>
          </cell>
        </row>
      </sheetData>
      <sheetData sheetId="7">
        <row r="22">
          <cell r="P22">
            <v>2.2054099999999996</v>
          </cell>
        </row>
      </sheetData>
      <sheetData sheetId="8">
        <row r="20">
          <cell r="P20">
            <v>3.7125000000000004</v>
          </cell>
        </row>
      </sheetData>
      <sheetData sheetId="9">
        <row r="17">
          <cell r="P17">
            <v>1.7925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ชุดรูปแบบของ Office">
  <a:themeElements>
    <a:clrScheme name="ในเมือง">
      <a:dk1>
        <a:sysClr val="windowText" lastClr="000000"/>
      </a:dk1>
      <a:lt1>
        <a:sysClr val="window" lastClr="FFFFFF"/>
      </a:lt1>
      <a:dk2>
        <a:srgbClr val="424456"/>
      </a:dk2>
      <a:lt2>
        <a:srgbClr val="DEDEDE"/>
      </a:lt2>
      <a:accent1>
        <a:srgbClr val="53548A"/>
      </a:accent1>
      <a:accent2>
        <a:srgbClr val="438086"/>
      </a:accent2>
      <a:accent3>
        <a:srgbClr val="A04DA3"/>
      </a:accent3>
      <a:accent4>
        <a:srgbClr val="C4652D"/>
      </a:accent4>
      <a:accent5>
        <a:srgbClr val="8B5D3D"/>
      </a:accent5>
      <a:accent6>
        <a:srgbClr val="5C92B5"/>
      </a:accent6>
      <a:hlink>
        <a:srgbClr val="67AFBD"/>
      </a:hlink>
      <a:folHlink>
        <a:srgbClr val="C2A874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4"/>
  <sheetViews>
    <sheetView tabSelected="1" view="pageBreakPreview" zoomScale="120" zoomScaleNormal="100" zoomScaleSheetLayoutView="120" workbookViewId="0">
      <selection activeCell="J33" sqref="J33"/>
    </sheetView>
  </sheetViews>
  <sheetFormatPr defaultColWidth="9" defaultRowHeight="15" x14ac:dyDescent="0.25"/>
  <cols>
    <col min="1" max="2" width="9" style="6"/>
    <col min="3" max="3" width="15.625" style="1" customWidth="1"/>
    <col min="4" max="4" width="25" style="1" customWidth="1"/>
    <col min="5" max="5" width="36.5" style="1" customWidth="1"/>
    <col min="6" max="16384" width="9" style="6"/>
  </cols>
  <sheetData>
    <row r="1" spans="1:5" ht="30" customHeight="1" x14ac:dyDescent="0.5">
      <c r="A1" s="2"/>
      <c r="B1" s="3"/>
      <c r="C1" s="4"/>
      <c r="D1" s="4"/>
      <c r="E1" s="5" t="s">
        <v>20</v>
      </c>
    </row>
    <row r="2" spans="1:5" ht="40.5" x14ac:dyDescent="0.35">
      <c r="A2" s="2"/>
      <c r="B2" s="7" t="s">
        <v>1</v>
      </c>
      <c r="C2" s="8" t="s">
        <v>3</v>
      </c>
      <c r="D2" s="9" t="s">
        <v>21</v>
      </c>
      <c r="E2" s="9" t="s">
        <v>22</v>
      </c>
    </row>
    <row r="3" spans="1:5" ht="23.25" x14ac:dyDescent="0.35">
      <c r="A3" s="2"/>
      <c r="B3" s="10">
        <v>1</v>
      </c>
      <c r="C3" s="11" t="s">
        <v>36</v>
      </c>
      <c r="D3" s="12">
        <f>[1]ตบ!$P$22</f>
        <v>4.9450000000000003</v>
      </c>
      <c r="E3" s="13">
        <f>[2]Sheet1!$C$14</f>
        <v>0.21467422855196702</v>
      </c>
    </row>
    <row r="4" spans="1:5" ht="23.25" x14ac:dyDescent="0.35">
      <c r="A4" s="2"/>
      <c r="B4" s="10">
        <v>2</v>
      </c>
      <c r="C4" s="11" t="s">
        <v>14</v>
      </c>
      <c r="D4" s="12">
        <f>[1]ตก!$P$22</f>
        <v>4.9350000000000005</v>
      </c>
      <c r="E4" s="13">
        <f>[2]Sheet1!$C$13</f>
        <v>0.21467422855196702</v>
      </c>
    </row>
    <row r="5" spans="1:5" ht="23.25" x14ac:dyDescent="0.35">
      <c r="A5" s="2"/>
      <c r="B5" s="10">
        <v>3</v>
      </c>
      <c r="C5" s="11" t="s">
        <v>7</v>
      </c>
      <c r="D5" s="12">
        <f>[1]อนล!$P$22</f>
        <v>4.8274400000000002</v>
      </c>
      <c r="E5" s="13">
        <f>[2]Sheet1!$C$18</f>
        <v>0.21467422855196702</v>
      </c>
    </row>
    <row r="6" spans="1:5" ht="23.25" x14ac:dyDescent="0.35">
      <c r="A6" s="2"/>
      <c r="B6" s="10">
        <v>4</v>
      </c>
      <c r="C6" s="11" t="s">
        <v>13</v>
      </c>
      <c r="D6" s="12">
        <f>[1]ตล!$P$22</f>
        <v>4.7299999999999995</v>
      </c>
      <c r="E6" s="13">
        <f>[2]Sheet1!$C$15</f>
        <v>0.21467422855196702</v>
      </c>
    </row>
    <row r="7" spans="1:5" ht="23.25" x14ac:dyDescent="0.35">
      <c r="A7" s="2"/>
      <c r="B7" s="10">
        <v>5</v>
      </c>
      <c r="C7" s="11" t="s">
        <v>0</v>
      </c>
      <c r="D7" s="12">
        <f>[3]สผว!$P$20</f>
        <v>4.7060599999999999</v>
      </c>
      <c r="E7" s="13">
        <f>[2]Sheet1!$C$30</f>
        <v>3.6780156250000001E-2</v>
      </c>
    </row>
    <row r="8" spans="1:5" ht="23.25" x14ac:dyDescent="0.35">
      <c r="A8" s="2"/>
      <c r="B8" s="10">
        <v>6</v>
      </c>
      <c r="C8" s="11" t="s">
        <v>32</v>
      </c>
      <c r="D8" s="12">
        <f>[3]ฝกค!$S$19</f>
        <v>4.6508000000000003</v>
      </c>
      <c r="E8" s="13">
        <f>[2]Sheet1!$C$19</f>
        <v>3.6780156250000001E-2</v>
      </c>
    </row>
    <row r="9" spans="1:5" ht="23.25" x14ac:dyDescent="0.35">
      <c r="A9" s="2"/>
      <c r="B9" s="10">
        <v>7</v>
      </c>
      <c r="C9" s="11" t="s">
        <v>27</v>
      </c>
      <c r="D9" s="12">
        <f>[3]สตส!$P$18</f>
        <v>4.5469999999999997</v>
      </c>
      <c r="E9" s="13">
        <f>[2]Sheet1!$C$29</f>
        <v>3.6780156250000001E-2</v>
      </c>
    </row>
    <row r="10" spans="1:5" ht="23.25" x14ac:dyDescent="0.35">
      <c r="A10" s="2"/>
      <c r="B10" s="10">
        <v>8</v>
      </c>
      <c r="C10" s="11" t="s">
        <v>5</v>
      </c>
      <c r="D10" s="12">
        <f>[1]กอ!$P$22</f>
        <v>4.5258650000000005</v>
      </c>
      <c r="E10" s="13">
        <f>[2]Sheet1!$C$12</f>
        <v>0.21467422855196702</v>
      </c>
    </row>
    <row r="11" spans="1:5" ht="23.25" x14ac:dyDescent="0.35">
      <c r="A11" s="2"/>
      <c r="B11" s="10">
        <v>9</v>
      </c>
      <c r="C11" s="11" t="s">
        <v>24</v>
      </c>
      <c r="D11" s="12">
        <f>[3]ฝยศ!$S$18</f>
        <v>4.4566699999999999</v>
      </c>
      <c r="E11" s="13">
        <f>[2]Sheet1!$C$25</f>
        <v>3.6780156250000001E-2</v>
      </c>
    </row>
    <row r="12" spans="1:5" ht="23.25" x14ac:dyDescent="0.35">
      <c r="A12" s="2"/>
      <c r="B12" s="10">
        <v>10</v>
      </c>
      <c r="C12" s="11" t="s">
        <v>29</v>
      </c>
      <c r="D12" s="12">
        <f>[3]ฝอย.!$P$22</f>
        <v>4.3975299999999997</v>
      </c>
      <c r="E12" s="13">
        <f>[2]Sheet1!$C$28</f>
        <v>0.31536867299641153</v>
      </c>
    </row>
    <row r="13" spans="1:5" ht="23.25" x14ac:dyDescent="0.35">
      <c r="A13" s="2"/>
      <c r="B13" s="10">
        <v>11</v>
      </c>
      <c r="C13" s="11" t="s">
        <v>25</v>
      </c>
      <c r="D13" s="12">
        <f>[3]ฝกม!$P$18</f>
        <v>4.2524999999999995</v>
      </c>
      <c r="E13" s="13">
        <f>[2]Sheet1!$C$20</f>
        <v>3.6780156250000001E-2</v>
      </c>
    </row>
    <row r="14" spans="1:5" ht="23.25" x14ac:dyDescent="0.35">
      <c r="A14" s="2"/>
      <c r="B14" s="10">
        <v>12</v>
      </c>
      <c r="C14" s="11" t="s">
        <v>26</v>
      </c>
      <c r="D14" s="12">
        <f>[3]สวย!$P$24</f>
        <v>4.1976100000000001</v>
      </c>
      <c r="E14" s="13">
        <f>[2]Sheet1!$C$31</f>
        <v>0.28905288352272729</v>
      </c>
    </row>
    <row r="15" spans="1:5" ht="23.25" x14ac:dyDescent="0.35">
      <c r="A15" s="2"/>
      <c r="B15" s="10">
        <v>13</v>
      </c>
      <c r="C15" s="11" t="s">
        <v>6</v>
      </c>
      <c r="D15" s="12">
        <f>[1]น!$P$24</f>
        <v>4.0707100000000001</v>
      </c>
      <c r="E15" s="13">
        <f>[2]Sheet1!$C$16</f>
        <v>0.21467422855196702</v>
      </c>
    </row>
    <row r="16" spans="1:5" ht="23.25" x14ac:dyDescent="0.35">
      <c r="A16" s="2"/>
      <c r="B16" s="10">
        <v>14</v>
      </c>
      <c r="C16" s="11" t="s">
        <v>31</v>
      </c>
      <c r="D16" s="12">
        <f>[3]ฝสผ!$P$22</f>
        <v>3.9316999999999998</v>
      </c>
      <c r="E16" s="13">
        <f>[2]Sheet1!$C$27</f>
        <v>0.12358571180555555</v>
      </c>
    </row>
    <row r="17" spans="1:5" ht="23.25" x14ac:dyDescent="0.35">
      <c r="A17" s="2"/>
      <c r="B17" s="10">
        <v>15</v>
      </c>
      <c r="C17" s="11" t="s">
        <v>33</v>
      </c>
      <c r="D17" s="12">
        <f>[3]ฝบท!$P$24</f>
        <v>3.8653449999999996</v>
      </c>
      <c r="E17" s="13">
        <f>[2]Sheet1!$C$23</f>
        <v>3.9052883522727268E-2</v>
      </c>
    </row>
    <row r="18" spans="1:5" ht="23.25" x14ac:dyDescent="0.35">
      <c r="A18" s="2"/>
      <c r="B18" s="10">
        <v>16</v>
      </c>
      <c r="C18" s="11" t="s">
        <v>16</v>
      </c>
      <c r="D18" s="12">
        <f>[4]กจร.5!$P$24</f>
        <v>3.8</v>
      </c>
      <c r="E18" s="13">
        <f>[2]Sheet1!$C$7</f>
        <v>3.9052883522727268E-2</v>
      </c>
    </row>
    <row r="19" spans="1:5" ht="23.25" x14ac:dyDescent="0.35">
      <c r="A19" s="2"/>
      <c r="B19" s="10">
        <v>17</v>
      </c>
      <c r="C19" s="11" t="s">
        <v>12</v>
      </c>
      <c r="D19" s="12">
        <f>[4]กจส.3!$P$20</f>
        <v>3.7125000000000004</v>
      </c>
      <c r="E19" s="13">
        <f>[2]Sheet1!$C$11</f>
        <v>8.3225815853554347E-2</v>
      </c>
    </row>
    <row r="20" spans="1:5" ht="23.25" x14ac:dyDescent="0.35">
      <c r="A20" s="2"/>
      <c r="B20" s="10">
        <v>18</v>
      </c>
      <c r="C20" s="11" t="s">
        <v>34</v>
      </c>
      <c r="D20" s="12">
        <f>[3]ฝทม!$P$23</f>
        <v>3.6491200000000004</v>
      </c>
      <c r="E20" s="13">
        <f>[2]Sheet1!$C$21</f>
        <v>3.6780156250000001E-2</v>
      </c>
    </row>
    <row r="21" spans="1:5" ht="23.25" x14ac:dyDescent="0.35">
      <c r="A21" s="2"/>
      <c r="B21" s="10">
        <v>19</v>
      </c>
      <c r="C21" s="11" t="s">
        <v>9</v>
      </c>
      <c r="D21" s="12">
        <f>[4]กจร.1!$P$22</f>
        <v>3.4174300000000004</v>
      </c>
      <c r="E21" s="13">
        <f>[2]Sheet1!$C$3</f>
        <v>8.3225815853554347E-2</v>
      </c>
    </row>
    <row r="22" spans="1:5" ht="23.25" x14ac:dyDescent="0.35">
      <c r="A22" s="2"/>
      <c r="B22" s="10">
        <v>20</v>
      </c>
      <c r="C22" s="11" t="s">
        <v>30</v>
      </c>
      <c r="D22" s="12">
        <f>[3]ฝศย.!$P$23</f>
        <v>3.3858800000000007</v>
      </c>
      <c r="E22" s="13">
        <f>[2]Sheet1!$C$26</f>
        <v>9.6618672996411484E-2</v>
      </c>
    </row>
    <row r="23" spans="1:5" ht="23.25" x14ac:dyDescent="0.35">
      <c r="A23" s="2"/>
      <c r="B23" s="10">
        <v>21</v>
      </c>
      <c r="C23" s="11" t="s">
        <v>10</v>
      </c>
      <c r="D23" s="12">
        <f>[1]อนบ!$P$24</f>
        <v>3.3688600000000002</v>
      </c>
      <c r="E23" s="13">
        <f>[2]Sheet1!$C$17</f>
        <v>0.21467422855196702</v>
      </c>
    </row>
    <row r="24" spans="1:5" ht="23.25" x14ac:dyDescent="0.35">
      <c r="A24" s="2"/>
      <c r="B24" s="10">
        <v>22</v>
      </c>
      <c r="C24" s="11" t="s">
        <v>28</v>
      </c>
      <c r="D24" s="12">
        <f>[3]ฝพก!$P$24</f>
        <v>3.2507999999999999</v>
      </c>
      <c r="E24" s="13">
        <f>[2]Sheet1!$C$24</f>
        <v>0.12585843907828281</v>
      </c>
    </row>
    <row r="25" spans="1:5" ht="23.25" x14ac:dyDescent="0.35">
      <c r="A25" s="2"/>
      <c r="B25" s="10">
        <v>23</v>
      </c>
      <c r="C25" s="11" t="s">
        <v>2</v>
      </c>
      <c r="D25" s="12">
        <f>[3]BU!$P$23</f>
        <v>2.8328300000000004</v>
      </c>
      <c r="E25" s="13">
        <f>[2]Sheet1!$C$32</f>
        <v>6.5368672996411484E-2</v>
      </c>
    </row>
    <row r="26" spans="1:5" ht="23.25" x14ac:dyDescent="0.35">
      <c r="A26" s="2"/>
      <c r="B26" s="10">
        <v>24</v>
      </c>
      <c r="C26" s="11" t="s">
        <v>35</v>
      </c>
      <c r="D26" s="12">
        <f>[3]ฝทส!$P$22</f>
        <v>2.8149999999999999</v>
      </c>
      <c r="E26" s="13">
        <f>[2]Sheet1!$C$22</f>
        <v>3.9052883522727268E-2</v>
      </c>
    </row>
    <row r="27" spans="1:5" ht="23.25" x14ac:dyDescent="0.35">
      <c r="A27" s="2"/>
      <c r="B27" s="10">
        <v>25</v>
      </c>
      <c r="C27" s="11" t="s">
        <v>23</v>
      </c>
      <c r="D27" s="12">
        <f>[3]หกป!$P$20</f>
        <v>2.8106599999999999</v>
      </c>
      <c r="E27" s="13">
        <f>[2]Sheet1!$C$33</f>
        <v>3.6780156250000001E-2</v>
      </c>
    </row>
    <row r="28" spans="1:5" ht="23.25" x14ac:dyDescent="0.35">
      <c r="A28" s="2"/>
      <c r="B28" s="10">
        <v>26</v>
      </c>
      <c r="C28" s="11" t="s">
        <v>4</v>
      </c>
      <c r="D28" s="12">
        <f>[4]กจร.6!$P$22</f>
        <v>2.5417399999999999</v>
      </c>
      <c r="E28" s="13">
        <f>[2]Sheet1!$C$8</f>
        <v>8.3225815853554347E-2</v>
      </c>
    </row>
    <row r="29" spans="1:5" ht="23.25" x14ac:dyDescent="0.35">
      <c r="A29" s="2"/>
      <c r="B29" s="10">
        <v>27</v>
      </c>
      <c r="C29" s="11" t="s">
        <v>17</v>
      </c>
      <c r="D29" s="12">
        <f>[4]กจร.4!$P$24</f>
        <v>2.3433000000000002</v>
      </c>
      <c r="E29" s="13">
        <f>[2]Sheet1!$C$6</f>
        <v>6.5368672996411484E-2</v>
      </c>
    </row>
    <row r="30" spans="1:5" ht="23.25" x14ac:dyDescent="0.35">
      <c r="A30" s="2"/>
      <c r="B30" s="10">
        <v>28</v>
      </c>
      <c r="C30" s="11" t="s">
        <v>11</v>
      </c>
      <c r="D30" s="12">
        <f>[4]กจส.2!$P$22</f>
        <v>2.2054099999999996</v>
      </c>
      <c r="E30" s="13">
        <f>[2]Sheet1!$C$10</f>
        <v>8.3225815853554347E-2</v>
      </c>
    </row>
    <row r="31" spans="1:5" ht="23.25" x14ac:dyDescent="0.35">
      <c r="A31" s="2"/>
      <c r="B31" s="10">
        <v>29</v>
      </c>
      <c r="C31" s="11" t="s">
        <v>18</v>
      </c>
      <c r="D31" s="12">
        <f>[4]กจร.2!$P$24</f>
        <v>2.1390099999999999</v>
      </c>
      <c r="E31" s="13">
        <f>[2]Sheet1!$C$4</f>
        <v>8.3225815853554347E-2</v>
      </c>
    </row>
    <row r="32" spans="1:5" ht="23.25" x14ac:dyDescent="0.35">
      <c r="A32" s="2"/>
      <c r="B32" s="10">
        <v>30</v>
      </c>
      <c r="C32" s="11" t="s">
        <v>8</v>
      </c>
      <c r="D32" s="12">
        <f>[4]กจม.!$P$17</f>
        <v>1.7925</v>
      </c>
      <c r="E32" s="13">
        <f>[2]Sheet1!$C$2</f>
        <v>8.0953088580827073E-2</v>
      </c>
    </row>
    <row r="33" spans="1:5" ht="23.25" x14ac:dyDescent="0.35">
      <c r="A33" s="2"/>
      <c r="B33" s="10">
        <v>31</v>
      </c>
      <c r="C33" s="11" t="s">
        <v>15</v>
      </c>
      <c r="D33" s="12">
        <f>[4]กจส.1!$P$22</f>
        <v>1.7877299999999998</v>
      </c>
      <c r="E33" s="13">
        <f>[2]Sheet1!$C$9</f>
        <v>8.3225815853554347E-2</v>
      </c>
    </row>
    <row r="34" spans="1:5" ht="23.25" x14ac:dyDescent="0.35">
      <c r="A34" s="2"/>
      <c r="B34" s="10">
        <v>32</v>
      </c>
      <c r="C34" s="11" t="s">
        <v>19</v>
      </c>
      <c r="D34" s="12">
        <f>[4]กจร.3!$P$20</f>
        <v>1.4384399999999999</v>
      </c>
      <c r="E34" s="13">
        <f>[2]Sheet1!$C$5</f>
        <v>6.309594572368421E-2</v>
      </c>
    </row>
  </sheetData>
  <autoFilter ref="B2:E34" xr:uid="{00000000-0009-0000-0000-000000000000}">
    <sortState xmlns:xlrd2="http://schemas.microsoft.com/office/spreadsheetml/2017/richdata2" ref="B3:E34">
      <sortCondition descending="1" ref="D2:D34"/>
    </sortState>
  </autoFilter>
  <pageMargins left="0.7" right="0.7" top="0.75" bottom="0.75" header="0.3" footer="0.3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คะแนน 4 หลัก </vt:lpstr>
      <vt:lpstr>'คะแนน 4 หลัก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Chalakorn Onmanee</cp:lastModifiedBy>
  <cp:lastPrinted>2025-12-17T07:57:18Z</cp:lastPrinted>
  <dcterms:created xsi:type="dcterms:W3CDTF">2015-08-10T06:31:16Z</dcterms:created>
  <dcterms:modified xsi:type="dcterms:W3CDTF">2026-04-07T06:34:54Z</dcterms:modified>
</cp:coreProperties>
</file>