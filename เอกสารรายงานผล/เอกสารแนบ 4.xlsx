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ร่าง MOU 68\"/>
    </mc:Choice>
  </mc:AlternateContent>
  <bookViews>
    <workbookView xWindow="0" yWindow="0" windowWidth="28800" windowHeight="12075" tabRatio="826"/>
  </bookViews>
  <sheets>
    <sheet name="ตัวชี้วัดที่ 1" sheetId="3" r:id="rId1"/>
    <sheet name="ตย.ตัวชี้วัดปลูกแทน" sheetId="5" r:id="rId2"/>
    <sheet name="ตย.ตัวชี้วัดงบลงทุน" sheetId="4" r:id="rId3"/>
  </sheets>
  <definedNames>
    <definedName name="_xlnm.Print_Area" localSheetId="2">ตย.ตัวชี้วัดงบลงทุน!$A$1:$AC$39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3" l="1"/>
  <c r="X34" i="5" l="1"/>
  <c r="X33" i="5"/>
  <c r="V33" i="5"/>
  <c r="W32" i="5" s="1"/>
  <c r="Y32" i="5"/>
  <c r="X32" i="5"/>
  <c r="V32" i="5"/>
  <c r="X31" i="5"/>
  <c r="Y30" i="5" s="1"/>
  <c r="V31" i="5"/>
  <c r="X30" i="5"/>
  <c r="W30" i="5"/>
  <c r="V30" i="5"/>
  <c r="X29" i="5"/>
  <c r="V29" i="5"/>
  <c r="W28" i="5" s="1"/>
  <c r="Y28" i="5"/>
  <c r="X28" i="5"/>
  <c r="V28" i="5"/>
  <c r="X27" i="5"/>
  <c r="Y26" i="5" s="1"/>
  <c r="V27" i="5"/>
  <c r="X26" i="5"/>
  <c r="W26" i="5"/>
  <c r="V26" i="5"/>
  <c r="X25" i="5"/>
  <c r="V25" i="5"/>
  <c r="W24" i="5" s="1"/>
  <c r="Y24" i="5"/>
  <c r="X24" i="5"/>
  <c r="V24" i="5"/>
  <c r="X23" i="5"/>
  <c r="Y22" i="5" s="1"/>
  <c r="V23" i="5"/>
  <c r="X22" i="5"/>
  <c r="W22" i="5"/>
  <c r="V22" i="5"/>
  <c r="X21" i="5"/>
  <c r="V21" i="5"/>
  <c r="W20" i="5" s="1"/>
  <c r="Y20" i="5"/>
  <c r="X20" i="5"/>
  <c r="V20" i="5"/>
  <c r="X19" i="5"/>
  <c r="Y18" i="5" s="1"/>
  <c r="Y34" i="5" s="1"/>
  <c r="V19" i="5"/>
  <c r="X18" i="5"/>
  <c r="W18" i="5"/>
  <c r="V18" i="5"/>
  <c r="X13" i="5"/>
  <c r="X12" i="5"/>
  <c r="V12" i="5"/>
  <c r="W11" i="5" s="1"/>
  <c r="W13" i="5" s="1"/>
  <c r="Y11" i="5"/>
  <c r="Y13" i="5" s="1"/>
  <c r="X11" i="5"/>
  <c r="V11" i="5"/>
  <c r="X10" i="5"/>
  <c r="Y9" i="5" s="1"/>
  <c r="V10" i="5"/>
  <c r="W9" i="5" s="1"/>
  <c r="X9" i="5"/>
  <c r="V9" i="5"/>
  <c r="W34" i="5" l="1"/>
  <c r="V19" i="4" l="1"/>
  <c r="V20" i="4"/>
  <c r="V21" i="4"/>
  <c r="V22" i="4"/>
  <c r="V23" i="4"/>
  <c r="V24" i="4"/>
  <c r="V25" i="4"/>
  <c r="V26" i="4"/>
  <c r="V27" i="4"/>
  <c r="V28" i="4"/>
  <c r="V29" i="4"/>
  <c r="V30" i="4"/>
  <c r="V31" i="4"/>
  <c r="V18" i="4"/>
  <c r="X22" i="4"/>
  <c r="X23" i="4"/>
  <c r="Y22" i="4" s="1"/>
  <c r="Y20" i="4"/>
  <c r="X32" i="4" l="1"/>
  <c r="X31" i="4"/>
  <c r="Y30" i="4" s="1"/>
  <c r="W30" i="4"/>
  <c r="X30" i="4"/>
  <c r="X29" i="4"/>
  <c r="Y28" i="4" s="1"/>
  <c r="X28" i="4"/>
  <c r="W28" i="4"/>
  <c r="X27" i="4"/>
  <c r="W26" i="4"/>
  <c r="Y26" i="4"/>
  <c r="X26" i="4"/>
  <c r="X25" i="4"/>
  <c r="Y24" i="4" s="1"/>
  <c r="X24" i="4"/>
  <c r="W24" i="4"/>
  <c r="X21" i="4"/>
  <c r="W20" i="4"/>
  <c r="X20" i="4"/>
  <c r="X19" i="4"/>
  <c r="Y18" i="4" s="1"/>
  <c r="W18" i="4"/>
  <c r="X18" i="4"/>
  <c r="X13" i="4"/>
  <c r="X12" i="4"/>
  <c r="Y11" i="4" s="1"/>
  <c r="V12" i="4"/>
  <c r="X11" i="4"/>
  <c r="W11" i="4"/>
  <c r="V11" i="4"/>
  <c r="G11" i="4"/>
  <c r="X10" i="4"/>
  <c r="Y9" i="4" s="1"/>
  <c r="V10" i="4"/>
  <c r="W9" i="4" s="1"/>
  <c r="W13" i="4" s="1"/>
  <c r="X9" i="4"/>
  <c r="V9" i="4"/>
  <c r="G9" i="4"/>
  <c r="W22" i="4" l="1"/>
  <c r="W32" i="4"/>
  <c r="Y32" i="4"/>
  <c r="Y13" i="4"/>
  <c r="V10" i="3" l="1"/>
  <c r="V11" i="3"/>
  <c r="V12" i="3"/>
  <c r="V35" i="3"/>
  <c r="V34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6" i="3"/>
  <c r="V37" i="3"/>
  <c r="W36" i="3" s="1"/>
  <c r="V18" i="3"/>
  <c r="X38" i="3" l="1"/>
  <c r="X37" i="3"/>
  <c r="Y36" i="3" s="1"/>
  <c r="X36" i="3"/>
  <c r="X35" i="3"/>
  <c r="Y34" i="3" s="1"/>
  <c r="W34" i="3"/>
  <c r="X34" i="3"/>
  <c r="X33" i="3"/>
  <c r="Y32" i="3" s="1"/>
  <c r="X32" i="3"/>
  <c r="W32" i="3"/>
  <c r="X31" i="3"/>
  <c r="Y30" i="3" s="1"/>
  <c r="W30" i="3"/>
  <c r="X30" i="3"/>
  <c r="X29" i="3"/>
  <c r="Y28" i="3" s="1"/>
  <c r="X28" i="3"/>
  <c r="W28" i="3"/>
  <c r="X27" i="3"/>
  <c r="Y26" i="3" s="1"/>
  <c r="W26" i="3"/>
  <c r="X26" i="3"/>
  <c r="X25" i="3"/>
  <c r="Y24" i="3" s="1"/>
  <c r="X24" i="3"/>
  <c r="W24" i="3"/>
  <c r="X23" i="3"/>
  <c r="Y22" i="3" s="1"/>
  <c r="W22" i="3"/>
  <c r="X22" i="3"/>
  <c r="X21" i="3"/>
  <c r="Y20" i="3" s="1"/>
  <c r="W20" i="3"/>
  <c r="X20" i="3"/>
  <c r="X19" i="3"/>
  <c r="Y18" i="3" s="1"/>
  <c r="W18" i="3"/>
  <c r="X18" i="3"/>
  <c r="X13" i="3"/>
  <c r="X12" i="3"/>
  <c r="Y11" i="3" s="1"/>
  <c r="W11" i="3"/>
  <c r="X11" i="3"/>
  <c r="X10" i="3"/>
  <c r="Y9" i="3" s="1"/>
  <c r="W9" i="3"/>
  <c r="X9" i="3"/>
  <c r="W13" i="3" l="1"/>
  <c r="Y38" i="3"/>
  <c r="W38" i="3"/>
  <c r="Y13" i="3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กรณีมีเงินเหลือจ่ายให้ใส่ไว้ในช่อง สาเหตุที่ไม่สามารถดำเนินการได้ตามแผน</t>
        </r>
      </text>
    </comment>
  </commentList>
</comments>
</file>

<file path=xl/sharedStrings.xml><?xml version="1.0" encoding="utf-8"?>
<sst xmlns="http://schemas.openxmlformats.org/spreadsheetml/2006/main" count="293" uniqueCount="86">
  <si>
    <t>ลำดับ</t>
  </si>
  <si>
    <t>หน่วยนับ</t>
  </si>
  <si>
    <t>แผน</t>
  </si>
  <si>
    <t>ผล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</si>
  <si>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</si>
  <si>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</si>
  <si>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</si>
  <si>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</si>
  <si>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</si>
  <si>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</si>
  <si>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</si>
  <si>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</si>
  <si>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</si>
  <si>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</si>
  <si>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</si>
  <si>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</si>
  <si>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กำหนดเป้าหมายแต่ละเดือน</t>
  </si>
  <si>
    <t xml:space="preserve">ตัวชี้วัดที่ </t>
  </si>
  <si>
    <t>ค่าเป้าหมาย</t>
  </si>
  <si>
    <t>ติดตามการดำเนินงานตามแผน (การประเมินเชิงคุณภาพ)</t>
  </si>
  <si>
    <t>ค่าเฉลี่ยร้อยละผลการดำเนินงานตามเป้าหมาย</t>
  </si>
  <si>
    <t>กำหนดระยะเวลาการดำเนินงานแต่ละขั้นตอน/กิจกรรม</t>
  </si>
  <si>
    <t>ความก้าวหน้าเทียบ
แผนสะสม</t>
  </si>
  <si>
    <t>ความก้าวหน้าเทียบ
แผนทั้งปี</t>
  </si>
  <si>
    <t>ผลการดำเนินงาน
เทียบเป้าหมายสะสม</t>
  </si>
  <si>
    <t>ผลการดำเนินงาน
เทียบเป้าหมายทั้งปี</t>
  </si>
  <si>
    <t xml:space="preserve">สาเหตุที่ไม่สามารถดำเนินการได้ตามเป้าหมาย </t>
  </si>
  <si>
    <t>การดำเนินการแก้ไข</t>
  </si>
  <si>
    <t>คำอธิบายเพิ่มเติม (ถ้ามี)</t>
  </si>
  <si>
    <t>สาเหตุที่ไม่สามารถดำเนินการได้ตามแผน</t>
  </si>
  <si>
    <t>หลักฐานประกอบผลการดำเนินงาน</t>
  </si>
  <si>
    <t>ขั้นตอนการดำเนินงาน</t>
  </si>
  <si>
    <t>ใส่ขั้นตอนการดำเนินงานที่สอดคล้องกับตัวชี้วัด</t>
  </si>
  <si>
    <t>ใส่เป้าหมายตัวชี้วัด</t>
  </si>
  <si>
    <t>ชื่อตัวชี้วัด</t>
  </si>
  <si>
    <t>ผู้รับผิดชอบตัวชี้วัด</t>
  </si>
  <si>
    <t>เป้าหมายตัวชี้วัด</t>
  </si>
  <si>
    <r>
      <rPr>
        <b/>
        <u/>
        <sz val="16"/>
        <color rgb="FF0070C0"/>
        <rFont val="AngsanaUPC"/>
        <family val="1"/>
      </rPr>
      <t>แนวทางการกำหนดเป้าหมายตัวชี้วัดรายเดือน</t>
    </r>
    <r>
      <rPr>
        <b/>
        <sz val="16"/>
        <color rgb="FF0070C0"/>
        <rFont val="AngsanaUPC"/>
        <family val="1"/>
      </rPr>
      <t xml:space="preserve"> :</t>
    </r>
    <r>
      <rPr>
        <sz val="16"/>
        <color rgb="FF0070C0"/>
        <rFont val="AngsanaUPC"/>
        <family val="1"/>
      </rPr>
      <t xml:space="preserve">
1. กรณีที่เป้าหมายการดำเนินงานมีลักษณะที่เป็นฤดูกาล ควรกำหนดเป้าหมายรายเดือนโดยพิจารณาจากข้อมูลสถิติผลการดำเนินงานในอดีต การวิเคราะห์แนวโน้มในอนาคต รวมถึงปัจจัยเสี่ยงปัจจุบันที่เกี่ยวข้อง เพื่อให้ได้เป้าหมายที่ใกล้เคียงกับสภาพการณ์จริงมากที่สุด
</t>
    </r>
    <r>
      <rPr>
        <b/>
        <sz val="16"/>
        <color rgb="FFFF0000"/>
        <rFont val="AngsanaUPC"/>
        <family val="1"/>
      </rPr>
      <t>2. งานที่ไม่มีปัจจัยภายนอก เช่น ฤดูกาลมาเกี่ยวข้อง ขอให้เร่งดำเนินการให้แล้วเสร็จภายในไตรมาส 3</t>
    </r>
    <r>
      <rPr>
        <sz val="16"/>
        <color rgb="FF0070C0"/>
        <rFont val="AngsanaUPC"/>
        <family val="1"/>
      </rPr>
      <t xml:space="preserve">
</t>
    </r>
  </si>
  <si>
    <r>
      <rPr>
        <b/>
        <u/>
        <sz val="16"/>
        <color rgb="FF0070C0"/>
        <rFont val="AngsanaUPC"/>
        <family val="1"/>
      </rPr>
      <t xml:space="preserve">แนวทางการกำหนดขั้นตอนการดำเนินงาน : </t>
    </r>
    <r>
      <rPr>
        <sz val="16"/>
        <color rgb="FF0070C0"/>
        <rFont val="AngsanaUPC"/>
        <family val="1"/>
      </rPr>
      <t xml:space="preserve">
1. การกำหนดขั้นตอนการดำเนินงาน ควรกำหนดขั้นตอนหลักๆ ที่สำคัญต่อการบรรลุเป้าหมายให้ชัดเจนก่อน จากนั้นจึงกำหนดกิจกรรมย่อยๆ ของแต่ละขั้นตอน ไม่ควรนำกิจกรรมย่อยๆ มาใส่ในขั้นตอนหลัก
2. การกำหนดค่าเป้าหมายของขั้นตอนหลัก อาจระบุเป็นจำนวนครั้งที่ต้องดำเนินการ ไม่ระบุค่าเป้าหมายเป็นร้อยละ 
3. กรณีที่มีกิจกรรมที่ดำเนินการ 1 ครั้ง แต่ใช้เวลาดำเนินการมากกว่า 1 เดือน ให้ใส่เลข 1 ในเดือนสุดท้ายที่คาดว่ากิจกรรมนั้นๆ จะแล้วเสร็จ
</t>
    </r>
    <r>
      <rPr>
        <b/>
        <sz val="16"/>
        <color rgb="FFFF0000"/>
        <rFont val="AngsanaUPC"/>
        <family val="1"/>
      </rPr>
      <t>4. งานที่ไม่มีปัจจัยภายนอก เช่น ฤดูกาลมาเกี่ยวข้อง ขอให้เร่งดำเนินการให้แล้วเสร็จภายในไตรมาส 3</t>
    </r>
  </si>
  <si>
    <t>งบประมาณ</t>
  </si>
  <si>
    <t>รายงานผลการดำเนินงานตามตัวชี้วัด..ที่ ..... (ชื่อตัวชี้วัด).... ส่วนงาน/หน่วยงาน..(ส่วนงาน/หน่วยงาน)... ประจำปีบัญชี 25....</t>
  </si>
  <si>
    <t>รายงานผลการดำเนินงานตามตัวชี้วัดที่ 3 ความสามารถในการบริหารแผนลงทุน (PA) การยางแห่งประเทศไทยเขตภาคเหนือ ประจำปีบัญชี 2567</t>
  </si>
  <si>
    <t>ความสามารถในการบริหารแผนลงทุน (PA)</t>
  </si>
  <si>
    <t>การยางแห่งประเทศไทยเขตภาคเหนือ/กองแผนและวิชาการ</t>
  </si>
  <si>
    <t>199,460 บาท</t>
  </si>
  <si>
    <t xml:space="preserve">สาเหตุที่ไม่สามารถดำเนินการ
ได้ตามเป้าหมาย </t>
  </si>
  <si>
    <t>การดำเนินการ
แก้ไข</t>
  </si>
  <si>
    <t>หลักฐานประกอบ
ผลการดำเนินงาน</t>
  </si>
  <si>
    <t>คำอธิบายเพิ่มเติม
(ถ้ามี)</t>
  </si>
  <si>
    <t>ร้อยละของภาพรวมการเบิกจ่ายที่เกิดขึ้นจริงในช่วงปี</t>
  </si>
  <si>
    <t>ร้อยละ</t>
  </si>
  <si>
    <t>ร้อยละความสามารถในการเบิกจ่ายตามแผน</t>
  </si>
  <si>
    <t>สาเหตุที่ไม่สามารถดำเนินการ
ได้ตามแผน</t>
  </si>
  <si>
    <t>ตรวจสอบการดำเนินงานในเบื้องต้นที่ได้รับอนุมัติงบลงทุนประจำปี 65</t>
  </si>
  <si>
    <t>ครั้ง</t>
  </si>
  <si>
    <t>ให้หน่วยงานจัดทำแผนการใช้จ่ายงบลงทุนประจำปี 65</t>
  </si>
  <si>
    <t>ให้หน่วยงานรายงานผลการใช้จ่ายงบลงทุนประจำปี 67 ทุกเดือน
ภายในสัปดาห์แรกของเดือนถัดไป จนกว่าจะดำเนินการแล้วเสร็จ</t>
  </si>
  <si>
    <t>จำนวนรายการที่ต้องดำเนินการ</t>
  </si>
  <si>
    <t>รายการ</t>
  </si>
  <si>
    <t>งบประมาณรายจ่ายที่ต้องเบิกจ่าย</t>
  </si>
  <si>
    <t>บาท</t>
  </si>
  <si>
    <t>ดำเนินการจัดซื้อจัดจ้างได้ครบถ้วนทุกรายการ แต่มีจำนวน 2 รายการที่มีการจัดซื้อจัดจ้างได้ราคาต่ำกว่างบประมาณที่ได้รับอนุมัติ เนื่องจากผู้ขายได้จัดรายการส่งเสริมการขายโดยลดราคา</t>
  </si>
  <si>
    <t>สรุปผลการดำเนินงานในภาพรวมของ กยท.ข.น.</t>
  </si>
  <si>
    <t>รายงานผลดำเนินการรายไตรมาส ตาม MOU</t>
  </si>
  <si>
    <t>เอกสารแนบ 1</t>
  </si>
  <si>
    <t>เอกสารแนบ 2</t>
  </si>
  <si>
    <t>รายงานผลการดำเนินงานตามตัวชี้วัดที่ 5 การส่งเสริม สนับสนุน และให้ความช่วยเหลือเกษตรกรชาวสวนยางเพื่อการปลูกแทน (PA)
การยางแห่งประเทศไทยเขตภาคเหนือ ประจำปีบัญชี 2567</t>
  </si>
  <si>
    <t>การส่งเสริม สนับสนุน และให้ความช่วยเหลือเกษตรกรชาวสวนยางเพื่อการปลูกแทน (PA)</t>
  </si>
  <si>
    <t>การยางแห่งประเทศไทยเขตภาคเหนือ/กองควบคุมและติดตาม</t>
  </si>
  <si>
    <t>71,000 บาท</t>
  </si>
  <si>
    <t xml:space="preserve">สาเหตุที่ไม่สามารถ
ดำเนินการได้ตามเป้าหมาย </t>
  </si>
  <si>
    <t xml:space="preserve">  การดำเนิน  การแก้ไข</t>
  </si>
  <si>
    <t>สวนปลูกแทนประจำปีงบประมาณ 2567</t>
  </si>
  <si>
    <t>ไร่</t>
  </si>
  <si>
    <t>สวนปลูกแทนประจำปี 2566 (ขยายเวลา)</t>
  </si>
  <si>
    <t>จัดทำแผนดำเนินการและแจ้งให้หน่วยงานสำรวจข้อมูลพื้นที่เป้าหมาย</t>
  </si>
  <si>
    <t>จัดสรร/ทบทวนเป้าหมายให้หน่วยงาน</t>
  </si>
  <si>
    <t>รายงานผลการดำเนินงานประจำเดือน / ติดตามผลการดำเนินงาน</t>
  </si>
  <si>
    <t>อนุมัติสวนปลูกแทน</t>
  </si>
  <si>
    <t>เป้าหมายที่ได้รับจัดสรรแบบที่ 1 มากกว่าความต้องการ</t>
  </si>
  <si>
    <t>แจ้ง ฝพก.</t>
  </si>
  <si>
    <t>รายงานสวนโค่น</t>
  </si>
  <si>
    <t>รายงานสวนปลูก</t>
  </si>
  <si>
    <t>รายงานสรุปผลการดำเนินการเสนอต่อ ผอ.กยท.ข.น. เพื่อทราบ</t>
  </si>
  <si>
    <t>รายงาน</t>
  </si>
  <si>
    <t>รายงานผลดำเนินการรายไตรมาสตาม 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</si>
</sst>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87" formatCode="_-* #,##0_-;\-* #,##0_-;_-* &quot;-&quot;??_-;_-@_-"/>
    <numFmt numFmtId="188" formatCode="##,###,###,##0.00"/>
    <numFmt numFmtId="189" formatCode="##,###,###,##0"/>
  </numFmts>
  <fonts count="1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16"/>
      <color indexed="8"/>
      <name val="AngsanaUPC"/>
      <family val="1"/>
    </font>
    <font>
      <sz val="16"/>
      <color rgb="FF0070C0"/>
      <name val="AngsanaUPC"/>
      <family val="1"/>
    </font>
    <font>
      <b/>
      <u/>
      <sz val="16"/>
      <color rgb="FF0070C0"/>
      <name val="AngsanaUPC"/>
      <family val="1"/>
    </font>
    <font>
      <b/>
      <sz val="16"/>
      <color rgb="FF0070C0"/>
      <name val="AngsanaUPC"/>
      <family val="1"/>
    </font>
    <font>
      <b/>
      <sz val="16"/>
      <color rgb="FFFF0000"/>
      <name val="AngsanaUPC"/>
      <family val="1"/>
    </font>
    <font>
      <b/>
      <sz val="20"/>
      <color theme="1"/>
      <name val="AngsanaUPC"/>
      <family val="1"/>
    </font>
    <font>
      <sz val="16"/>
      <color rgb="FF002060"/>
      <name val="AngsanaUPC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AngsanaUPC"/>
      <family val="1"/>
      <charset val="222"/>
    </font>
    <font>
      <sz val="14"/>
      <color theme="1"/>
      <name val="TH SarabunPSK"/>
      <family val="2"/>
      <charset val="222"/>
    </font>
    <font>
      <sz val="16"/>
      <name val="AngsanaUPC"/>
      <family val="1"/>
      <charset val="222"/>
    </font>
    <font>
      <sz val="16"/>
      <name val="AngsanaUPC"/>
      <family val="1"/>
    </font>
    <font>
      <sz val="16"/>
      <color rgb="FFFF0000"/>
      <name val="AngsanaUPC"/>
      <family val="1"/>
      <charset val="222"/>
    </font>
    <font>
      <sz val="16"/>
      <color indexed="8"/>
      <name val="AngsanaUPC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</cellStyleXfs>
  <cellXfs count="260">
    <xf numFmtId="0" fontId="0" fillId="0" borderId="0" xfId="0"/>
    <xf numFmtId="0" fontId="2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/>
      <protection locked="0"/>
    </xf>
    <xf numFmtId="2" fontId="2" fillId="0" borderId="0" xfId="1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vertical="top"/>
      <protection locked="0"/>
    </xf>
    <xf numFmtId="43" fontId="3" fillId="0" borderId="1" xfId="1" applyNumberFormat="1" applyFont="1" applyFill="1" applyBorder="1" applyAlignment="1" applyProtection="1">
      <alignment horizontal="center" vertical="top"/>
    </xf>
    <xf numFmtId="43" fontId="3" fillId="0" borderId="1" xfId="1" applyFont="1" applyFill="1" applyBorder="1" applyAlignment="1" applyProtection="1">
      <alignment horizontal="center" vertical="top"/>
    </xf>
    <xf numFmtId="188" fontId="4" fillId="0" borderId="1" xfId="0" applyNumberFormat="1" applyFont="1" applyFill="1" applyBorder="1" applyAlignment="1">
      <alignment horizontal="right" vertical="top"/>
    </xf>
    <xf numFmtId="43" fontId="3" fillId="0" borderId="1" xfId="1" applyFont="1" applyFill="1" applyBorder="1" applyAlignment="1" applyProtection="1">
      <alignment horizontal="left" vertical="top"/>
      <protection locked="0"/>
    </xf>
    <xf numFmtId="9" fontId="2" fillId="0" borderId="1" xfId="2" applyFont="1" applyFill="1" applyBorder="1" applyAlignment="1" applyProtection="1">
      <alignment horizontal="center" vertical="top"/>
    </xf>
    <xf numFmtId="43" fontId="2" fillId="0" borderId="1" xfId="1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 applyProtection="1">
      <alignment horizontal="left" vertical="top"/>
      <protection locked="0"/>
    </xf>
    <xf numFmtId="9" fontId="2" fillId="0" borderId="1" xfId="2" applyFont="1" applyFill="1" applyBorder="1" applyAlignment="1" applyProtection="1">
      <alignment horizontal="center" vertical="top"/>
      <protection locked="0"/>
    </xf>
    <xf numFmtId="43" fontId="5" fillId="0" borderId="0" xfId="1" applyFont="1" applyFill="1" applyBorder="1" applyAlignment="1" applyProtection="1">
      <alignment horizontal="center" vertical="top"/>
      <protection locked="0"/>
    </xf>
    <xf numFmtId="9" fontId="5" fillId="0" borderId="0" xfId="2" applyFont="1" applyFill="1" applyBorder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4" fontId="2" fillId="0" borderId="0" xfId="0" applyNumberFormat="1" applyFont="1" applyFill="1" applyAlignment="1" applyProtection="1">
      <alignment horizontal="left" vertical="top"/>
      <protection locked="0"/>
    </xf>
    <xf numFmtId="188" fontId="3" fillId="0" borderId="1" xfId="0" applyNumberFormat="1" applyFont="1" applyFill="1" applyBorder="1" applyAlignment="1">
      <alignment horizontal="right" vertical="top"/>
    </xf>
    <xf numFmtId="43" fontId="2" fillId="0" borderId="1" xfId="1" applyFont="1" applyFill="1" applyBorder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17" fontId="3" fillId="0" borderId="0" xfId="0" applyNumberFormat="1" applyFont="1" applyFill="1" applyAlignment="1" applyProtection="1">
      <alignment horizontal="left" vertical="center"/>
      <protection locked="0"/>
    </xf>
    <xf numFmtId="43" fontId="3" fillId="0" borderId="0" xfId="1" applyFont="1" applyFill="1" applyBorder="1" applyAlignment="1" applyProtection="1">
      <alignment horizontal="left"/>
      <protection locked="0"/>
    </xf>
    <xf numFmtId="43" fontId="3" fillId="0" borderId="0" xfId="0" applyNumberFormat="1" applyFont="1" applyFill="1" applyAlignment="1" applyProtection="1">
      <alignment horizontal="left"/>
      <protection locked="0"/>
    </xf>
    <xf numFmtId="0" fontId="3" fillId="0" borderId="1" xfId="0" applyFont="1" applyFill="1" applyBorder="1" applyAlignment="1" applyProtection="1">
      <alignment horizontal="center" vertical="top"/>
      <protection locked="0"/>
    </xf>
    <xf numFmtId="9" fontId="2" fillId="0" borderId="1" xfId="2" applyFont="1" applyFill="1" applyBorder="1" applyAlignment="1" applyProtection="1">
      <alignment horizontal="center" vertical="top"/>
    </xf>
    <xf numFmtId="17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top"/>
      <protection locked="0"/>
    </xf>
    <xf numFmtId="187" fontId="3" fillId="3" borderId="1" xfId="1" applyNumberFormat="1" applyFont="1" applyFill="1" applyBorder="1" applyAlignment="1" applyProtection="1">
      <alignment horizontal="center" vertical="top"/>
      <protection locked="0"/>
    </xf>
    <xf numFmtId="43" fontId="3" fillId="3" borderId="1" xfId="1" applyFont="1" applyFill="1" applyBorder="1" applyAlignment="1" applyProtection="1">
      <alignment horizontal="left" vertical="top"/>
      <protection locked="0"/>
    </xf>
    <xf numFmtId="2" fontId="3" fillId="3" borderId="1" xfId="1" applyNumberFormat="1" applyFont="1" applyFill="1" applyBorder="1" applyAlignment="1" applyProtection="1">
      <alignment horizontal="center" vertical="top"/>
      <protection locked="0"/>
    </xf>
    <xf numFmtId="43" fontId="2" fillId="3" borderId="1" xfId="1" applyFont="1" applyFill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/>
      <protection locked="0"/>
    </xf>
    <xf numFmtId="17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7" fontId="3" fillId="0" borderId="1" xfId="1" applyNumberFormat="1" applyFont="1" applyFill="1" applyBorder="1" applyAlignment="1" applyProtection="1">
      <alignment horizontal="center" vertical="center"/>
      <protection locked="0"/>
    </xf>
    <xf numFmtId="43" fontId="3" fillId="0" borderId="1" xfId="1" applyFont="1" applyFill="1" applyBorder="1" applyAlignment="1" applyProtection="1">
      <alignment horizontal="center" vertical="center"/>
    </xf>
    <xf numFmtId="187" fontId="4" fillId="5" borderId="1" xfId="1" applyNumberFormat="1" applyFont="1" applyFill="1" applyBorder="1" applyAlignment="1">
      <alignment horizontal="right" vertical="center"/>
    </xf>
    <xf numFmtId="187" fontId="3" fillId="5" borderId="1" xfId="1" applyNumberFormat="1" applyFont="1" applyFill="1" applyBorder="1" applyAlignment="1" applyProtection="1">
      <alignment horizontal="left" vertical="center"/>
      <protection locked="0"/>
    </xf>
    <xf numFmtId="187" fontId="3" fillId="0" borderId="1" xfId="1" applyNumberFormat="1" applyFont="1" applyFill="1" applyBorder="1" applyAlignment="1" applyProtection="1">
      <alignment horizontal="left" vertical="center"/>
      <protection locked="0"/>
    </xf>
    <xf numFmtId="187" fontId="3" fillId="0" borderId="1" xfId="1" applyNumberFormat="1" applyFont="1" applyFill="1" applyBorder="1" applyAlignment="1" applyProtection="1">
      <alignment horizontal="center" vertical="center"/>
    </xf>
    <xf numFmtId="187" fontId="3" fillId="5" borderId="1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4" fontId="2" fillId="0" borderId="0" xfId="0" applyNumberFormat="1" applyFont="1" applyAlignment="1" applyProtection="1">
      <alignment horizontal="left" vertical="top"/>
      <protection locked="0"/>
    </xf>
    <xf numFmtId="17" fontId="3" fillId="0" borderId="0" xfId="0" applyNumberFormat="1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187" fontId="3" fillId="6" borderId="1" xfId="1" applyNumberFormat="1" applyFont="1" applyFill="1" applyBorder="1" applyAlignment="1" applyProtection="1">
      <alignment horizontal="left" vertical="top"/>
      <protection locked="0"/>
    </xf>
    <xf numFmtId="187" fontId="3" fillId="6" borderId="1" xfId="1" applyNumberFormat="1" applyFont="1" applyFill="1" applyBorder="1" applyAlignment="1" applyProtection="1">
      <alignment horizontal="center" vertical="top"/>
    </xf>
    <xf numFmtId="187" fontId="3" fillId="0" borderId="1" xfId="1" applyNumberFormat="1" applyFont="1" applyFill="1" applyBorder="1" applyAlignment="1" applyProtection="1">
      <alignment horizontal="center" vertical="top"/>
    </xf>
    <xf numFmtId="0" fontId="3" fillId="0" borderId="0" xfId="0" applyFont="1" applyAlignment="1" applyProtection="1">
      <alignment horizontal="left" vertical="top"/>
      <protection locked="0"/>
    </xf>
    <xf numFmtId="187" fontId="3" fillId="5" borderId="1" xfId="1" applyNumberFormat="1" applyFont="1" applyFill="1" applyBorder="1" applyAlignment="1" applyProtection="1">
      <alignment horizontal="left" vertical="top"/>
      <protection locked="0"/>
    </xf>
    <xf numFmtId="187" fontId="2" fillId="0" borderId="1" xfId="1" applyNumberFormat="1" applyFont="1" applyFill="1" applyBorder="1" applyAlignment="1" applyProtection="1">
      <alignment horizontal="center" vertical="top"/>
      <protection locked="0"/>
    </xf>
    <xf numFmtId="43" fontId="3" fillId="0" borderId="0" xfId="0" applyNumberFormat="1" applyFont="1" applyAlignment="1" applyProtection="1">
      <alignment horizontal="left"/>
      <protection locked="0"/>
    </xf>
    <xf numFmtId="187" fontId="3" fillId="0" borderId="1" xfId="1" applyNumberFormat="1" applyFont="1" applyFill="1" applyBorder="1" applyAlignment="1" applyProtection="1">
      <alignment horizontal="center" vertical="top"/>
      <protection locked="0"/>
    </xf>
    <xf numFmtId="43" fontId="13" fillId="0" borderId="1" xfId="1" applyFont="1" applyFill="1" applyBorder="1" applyAlignment="1" applyProtection="1">
      <alignment horizontal="center" vertical="top"/>
    </xf>
    <xf numFmtId="0" fontId="13" fillId="0" borderId="0" xfId="0" applyFont="1" applyAlignment="1" applyProtection="1">
      <alignment horizontal="left" vertical="top"/>
      <protection locked="0"/>
    </xf>
    <xf numFmtId="43" fontId="3" fillId="6" borderId="1" xfId="1" applyNumberFormat="1" applyFont="1" applyFill="1" applyBorder="1" applyAlignment="1" applyProtection="1">
      <alignment horizontal="center" vertical="top"/>
    </xf>
    <xf numFmtId="0" fontId="8" fillId="0" borderId="0" xfId="0" applyFont="1" applyAlignment="1" applyProtection="1">
      <alignment horizontal="left"/>
      <protection locked="0"/>
    </xf>
    <xf numFmtId="0" fontId="3" fillId="7" borderId="0" xfId="0" applyFont="1" applyFill="1" applyAlignment="1" applyProtection="1">
      <alignment horizontal="left" vertical="center"/>
      <protection locked="0"/>
    </xf>
    <xf numFmtId="17" fontId="3" fillId="7" borderId="1" xfId="0" applyNumberFormat="1" applyFont="1" applyFill="1" applyBorder="1" applyAlignment="1" applyProtection="1">
      <alignment horizontal="center" vertical="center"/>
      <protection locked="0"/>
    </xf>
    <xf numFmtId="17" fontId="3" fillId="7" borderId="0" xfId="0" applyNumberFormat="1" applyFont="1" applyFill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87" fontId="3" fillId="3" borderId="1" xfId="1" applyNumberFormat="1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187" fontId="13" fillId="3" borderId="1" xfId="1" applyNumberFormat="1" applyFont="1" applyFill="1" applyBorder="1" applyAlignment="1" applyProtection="1">
      <alignment horizontal="center" vertical="top"/>
      <protection locked="0"/>
    </xf>
    <xf numFmtId="187" fontId="16" fillId="3" borderId="1" xfId="1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43" fontId="4" fillId="0" borderId="1" xfId="1" applyFont="1" applyFill="1" applyBorder="1" applyAlignment="1">
      <alignment horizontal="right" vertical="center"/>
    </xf>
    <xf numFmtId="189" fontId="4" fillId="0" borderId="1" xfId="0" applyNumberFormat="1" applyFont="1" applyFill="1" applyBorder="1" applyAlignment="1">
      <alignment horizontal="right" vertical="center"/>
    </xf>
    <xf numFmtId="189" fontId="3" fillId="0" borderId="1" xfId="1" applyNumberFormat="1" applyFont="1" applyFill="1" applyBorder="1" applyAlignment="1" applyProtection="1">
      <alignment horizontal="right" vertical="center"/>
      <protection locked="0"/>
    </xf>
    <xf numFmtId="188" fontId="3" fillId="0" borderId="1" xfId="1" applyNumberFormat="1" applyFont="1" applyFill="1" applyBorder="1" applyAlignment="1" applyProtection="1">
      <alignment horizontal="right" vertical="center"/>
      <protection locked="0"/>
    </xf>
    <xf numFmtId="189" fontId="3" fillId="0" borderId="1" xfId="1" applyNumberFormat="1" applyFont="1" applyFill="1" applyBorder="1" applyAlignment="1" applyProtection="1">
      <alignment horizontal="left" vertical="center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188" fontId="18" fillId="0" borderId="1" xfId="0" applyNumberFormat="1" applyFont="1" applyFill="1" applyBorder="1" applyAlignment="1">
      <alignment horizontal="right" vertical="top"/>
    </xf>
    <xf numFmtId="43" fontId="13" fillId="0" borderId="1" xfId="1" applyFont="1" applyFill="1" applyBorder="1" applyAlignment="1" applyProtection="1">
      <alignment horizontal="left" vertical="top"/>
      <protection locked="0"/>
    </xf>
    <xf numFmtId="187" fontId="3" fillId="0" borderId="1" xfId="1" applyNumberFormat="1" applyFont="1" applyFill="1" applyBorder="1" applyAlignment="1" applyProtection="1">
      <alignment horizontal="left" vertical="top"/>
      <protection locked="0"/>
    </xf>
    <xf numFmtId="187" fontId="3" fillId="3" borderId="1" xfId="1" applyNumberFormat="1" applyFont="1" applyFill="1" applyBorder="1" applyAlignment="1" applyProtection="1">
      <alignment horizontal="left" vertical="top"/>
      <protection locked="0"/>
    </xf>
    <xf numFmtId="187" fontId="3" fillId="3" borderId="1" xfId="1" applyNumberFormat="1" applyFont="1" applyFill="1" applyBorder="1" applyAlignment="1" applyProtection="1">
      <alignment horizontal="left" vertical="center"/>
      <protection locked="0"/>
    </xf>
    <xf numFmtId="9" fontId="3" fillId="0" borderId="1" xfId="2" applyFont="1" applyFill="1" applyBorder="1" applyAlignment="1" applyProtection="1">
      <alignment horizontal="left" vertical="top" wrapText="1"/>
      <protection locked="0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43" fontId="3" fillId="0" borderId="1" xfId="1" applyFont="1" applyFill="1" applyBorder="1" applyAlignment="1" applyProtection="1">
      <alignment horizontal="center" vertical="top"/>
      <protection locked="0"/>
    </xf>
    <xf numFmtId="9" fontId="3" fillId="0" borderId="1" xfId="2" applyFont="1" applyFill="1" applyBorder="1" applyAlignment="1" applyProtection="1">
      <alignment horizontal="center" vertical="top"/>
    </xf>
    <xf numFmtId="9" fontId="3" fillId="0" borderId="1" xfId="2" applyFont="1" applyFill="1" applyBorder="1" applyAlignment="1" applyProtection="1">
      <alignment horizontal="center" vertical="top"/>
      <protection locked="0"/>
    </xf>
    <xf numFmtId="9" fontId="2" fillId="0" borderId="1" xfId="2" applyFont="1" applyFill="1" applyBorder="1" applyAlignment="1" applyProtection="1">
      <alignment horizontal="center" vertical="top"/>
    </xf>
    <xf numFmtId="10" fontId="3" fillId="0" borderId="1" xfId="2" applyNumberFormat="1" applyFont="1" applyFill="1" applyBorder="1" applyAlignment="1" applyProtection="1">
      <alignment horizontal="center" vertical="top"/>
    </xf>
    <xf numFmtId="0" fontId="2" fillId="0" borderId="2" xfId="0" applyFont="1" applyFill="1" applyBorder="1" applyAlignment="1" applyProtection="1">
      <alignment horizontal="right" vertical="top" wrapText="1"/>
      <protection locked="0"/>
    </xf>
    <xf numFmtId="0" fontId="2" fillId="0" borderId="3" xfId="0" applyFont="1" applyFill="1" applyBorder="1" applyAlignment="1" applyProtection="1">
      <alignment horizontal="right" vertical="top" wrapText="1"/>
      <protection locked="0"/>
    </xf>
    <xf numFmtId="0" fontId="2" fillId="0" borderId="4" xfId="0" applyFont="1" applyFill="1" applyBorder="1" applyAlignment="1" applyProtection="1">
      <alignment horizontal="right" vertical="top" wrapText="1"/>
      <protection locked="0"/>
    </xf>
    <xf numFmtId="49" fontId="5" fillId="0" borderId="0" xfId="1" applyNumberFormat="1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2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3" fillId="0" borderId="5" xfId="2" applyFont="1" applyFill="1" applyBorder="1" applyAlignment="1" applyProtection="1">
      <alignment horizontal="left" vertical="top" wrapText="1"/>
      <protection locked="0"/>
    </xf>
    <xf numFmtId="9" fontId="3" fillId="0" borderId="6" xfId="2" applyFont="1" applyFill="1" applyBorder="1" applyAlignment="1" applyProtection="1">
      <alignment horizontal="left" vertical="top" wrapText="1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0" fontId="3" fillId="0" borderId="12" xfId="0" applyFont="1" applyFill="1" applyBorder="1" applyAlignment="1" applyProtection="1">
      <alignment horizontal="left" vertical="center" wrapText="1"/>
      <protection locked="0"/>
    </xf>
    <xf numFmtId="0" fontId="3" fillId="0" borderId="10" xfId="0" applyFont="1" applyFill="1" applyBorder="1" applyAlignment="1" applyProtection="1">
      <alignment horizontal="left" vertical="center" wrapText="1"/>
      <protection locked="0"/>
    </xf>
    <xf numFmtId="0" fontId="3" fillId="0" borderId="8" xfId="0" applyFont="1" applyFill="1" applyBorder="1" applyAlignment="1" applyProtection="1">
      <alignment horizontal="left" vertical="center" wrapText="1"/>
      <protection locked="0"/>
    </xf>
    <xf numFmtId="0" fontId="3" fillId="0" borderId="13" xfId="0" applyFont="1" applyFill="1" applyBorder="1" applyAlignment="1" applyProtection="1">
      <alignment horizontal="left" vertical="center" wrapText="1"/>
      <protection locked="0"/>
    </xf>
    <xf numFmtId="0" fontId="3" fillId="0" borderId="11" xfId="0" applyFont="1" applyFill="1" applyBorder="1" applyAlignment="1" applyProtection="1">
      <alignment horizontal="left" vertical="center" wrapText="1"/>
      <protection locked="0"/>
    </xf>
    <xf numFmtId="43" fontId="3" fillId="0" borderId="5" xfId="1" applyFont="1" applyFill="1" applyBorder="1" applyAlignment="1" applyProtection="1">
      <alignment horizontal="center" vertical="top"/>
      <protection locked="0"/>
    </xf>
    <xf numFmtId="43" fontId="3" fillId="0" borderId="6" xfId="1" applyFont="1" applyFill="1" applyBorder="1" applyAlignment="1" applyProtection="1">
      <alignment horizontal="center" vertical="top"/>
      <protection locked="0"/>
    </xf>
    <xf numFmtId="0" fontId="3" fillId="0" borderId="5" xfId="0" applyFont="1" applyFill="1" applyBorder="1" applyAlignment="1" applyProtection="1">
      <alignment horizontal="center" vertical="top"/>
      <protection locked="0"/>
    </xf>
    <xf numFmtId="0" fontId="3" fillId="0" borderId="6" xfId="0" applyFont="1" applyFill="1" applyBorder="1" applyAlignment="1" applyProtection="1">
      <alignment horizontal="center" vertical="top"/>
      <protection locked="0"/>
    </xf>
    <xf numFmtId="9" fontId="3" fillId="0" borderId="5" xfId="2" applyFont="1" applyFill="1" applyBorder="1" applyAlignment="1" applyProtection="1">
      <alignment horizontal="center" vertical="top"/>
    </xf>
    <xf numFmtId="9" fontId="3" fillId="0" borderId="6" xfId="2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left"/>
      <protection locked="0"/>
    </xf>
    <xf numFmtId="0" fontId="3" fillId="0" borderId="3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5" fillId="0" borderId="7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Alignment="1" applyProtection="1">
      <alignment horizontal="left" vertical="top" wrapText="1"/>
      <protection locked="0"/>
    </xf>
    <xf numFmtId="0" fontId="5" fillId="0" borderId="7" xfId="0" applyFont="1" applyFill="1" applyBorder="1" applyAlignment="1" applyProtection="1">
      <alignment horizontal="left"/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2" fontId="3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3" fillId="2" borderId="6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" fillId="0" borderId="0" xfId="0" applyFont="1" applyFill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5" fillId="0" borderId="12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187" fontId="3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187" fontId="3" fillId="6" borderId="1" xfId="1" applyNumberFormat="1" applyFont="1" applyFill="1" applyBorder="1" applyAlignment="1" applyProtection="1">
      <alignment horizontal="center" vertical="top"/>
      <protection locked="0"/>
    </xf>
    <xf numFmtId="187" fontId="3" fillId="0" borderId="1" xfId="1" applyNumberFormat="1" applyFont="1" applyFill="1" applyBorder="1" applyAlignment="1" applyProtection="1">
      <alignment horizontal="center" vertical="top"/>
      <protection locked="0"/>
    </xf>
    <xf numFmtId="9" fontId="3" fillId="0" borderId="1" xfId="2" applyFont="1" applyFill="1" applyBorder="1" applyAlignment="1" applyProtection="1">
      <alignment horizontal="center" vertical="top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5" xfId="0" applyFont="1" applyFill="1" applyBorder="1" applyAlignment="1" applyProtection="1">
      <alignment horizontal="center" vertical="center" wrapText="1"/>
      <protection locked="0"/>
    </xf>
    <xf numFmtId="0" fontId="3" fillId="7" borderId="6" xfId="0" applyFont="1" applyFill="1" applyBorder="1" applyAlignment="1" applyProtection="1">
      <alignment horizontal="center" vertical="center" wrapText="1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2" fontId="3" fillId="7" borderId="1" xfId="1" applyNumberFormat="1" applyFont="1" applyFill="1" applyBorder="1" applyAlignment="1" applyProtection="1">
      <alignment horizontal="center" vertical="center" wrapText="1"/>
      <protection locked="0"/>
    </xf>
    <xf numFmtId="9" fontId="17" fillId="0" borderId="5" xfId="2" applyFont="1" applyFill="1" applyBorder="1" applyAlignment="1" applyProtection="1">
      <alignment horizontal="left" vertical="top" wrapText="1"/>
      <protection locked="0"/>
    </xf>
    <xf numFmtId="9" fontId="17" fillId="0" borderId="6" xfId="2" applyFont="1" applyFill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center" vertical="top"/>
      <protection locked="0"/>
    </xf>
    <xf numFmtId="0" fontId="13" fillId="0" borderId="6" xfId="0" applyFont="1" applyBorder="1" applyAlignment="1" applyProtection="1">
      <alignment horizontal="center" vertical="top"/>
      <protection locked="0"/>
    </xf>
    <xf numFmtId="9" fontId="13" fillId="0" borderId="5" xfId="2" applyFont="1" applyFill="1" applyBorder="1" applyAlignment="1" applyProtection="1">
      <alignment horizontal="left" vertical="top" wrapText="1"/>
      <protection locked="0"/>
    </xf>
    <xf numFmtId="9" fontId="13" fillId="0" borderId="6" xfId="2" applyFont="1" applyFill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0" fontId="2" fillId="0" borderId="3" xfId="0" applyFont="1" applyBorder="1" applyAlignment="1" applyProtection="1">
      <alignment horizontal="right" vertical="top" wrapText="1"/>
      <protection locked="0"/>
    </xf>
    <xf numFmtId="0" fontId="2" fillId="0" borderId="4" xfId="0" applyFont="1" applyBorder="1" applyAlignment="1" applyProtection="1">
      <alignment horizontal="right" vertical="top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9" fontId="3" fillId="0" borderId="5" xfId="2" applyFont="1" applyFill="1" applyBorder="1" applyAlignment="1" applyProtection="1">
      <alignment horizontal="left" vertical="center" wrapText="1"/>
      <protection locked="0"/>
    </xf>
    <xf numFmtId="9" fontId="3" fillId="0" borderId="6" xfId="2" applyFont="1" applyFill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1" xfId="4" applyFont="1" applyBorder="1" applyAlignment="1" applyProtection="1">
      <alignment horizontal="left" vertical="center" wrapText="1"/>
      <protection locked="0"/>
    </xf>
    <xf numFmtId="43" fontId="15" fillId="0" borderId="5" xfId="1" applyFont="1" applyFill="1" applyBorder="1" applyAlignment="1" applyProtection="1">
      <alignment horizontal="center" vertical="center"/>
      <protection locked="0"/>
    </xf>
    <xf numFmtId="43" fontId="15" fillId="0" borderId="6" xfId="1" applyFont="1" applyFill="1" applyBorder="1" applyAlignment="1" applyProtection="1">
      <alignment horizontal="center" vertical="center"/>
      <protection locked="0"/>
    </xf>
    <xf numFmtId="9" fontId="13" fillId="0" borderId="5" xfId="2" applyFont="1" applyFill="1" applyBorder="1" applyAlignment="1" applyProtection="1">
      <alignment horizontal="center" vertical="top"/>
    </xf>
    <xf numFmtId="9" fontId="13" fillId="0" borderId="6" xfId="2" applyFont="1" applyFill="1" applyBorder="1" applyAlignment="1" applyProtection="1">
      <alignment horizontal="center" vertical="top"/>
    </xf>
    <xf numFmtId="187" fontId="3" fillId="0" borderId="5" xfId="1" applyNumberFormat="1" applyFont="1" applyFill="1" applyBorder="1" applyAlignment="1" applyProtection="1">
      <alignment horizontal="center" vertical="center"/>
      <protection locked="0"/>
    </xf>
    <xf numFmtId="187" fontId="3" fillId="0" borderId="6" xfId="1" applyNumberFormat="1" applyFont="1" applyFill="1" applyBorder="1" applyAlignment="1" applyProtection="1">
      <alignment horizontal="center" vertical="center"/>
      <protection locked="0"/>
    </xf>
    <xf numFmtId="9" fontId="3" fillId="0" borderId="5" xfId="2" applyFont="1" applyFill="1" applyBorder="1" applyAlignment="1" applyProtection="1">
      <alignment horizontal="center" vertical="center"/>
    </xf>
    <xf numFmtId="9" fontId="3" fillId="0" borderId="6" xfId="2" applyFont="1" applyFill="1" applyBorder="1" applyAlignment="1" applyProtection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43" fontId="3" fillId="0" borderId="2" xfId="1" applyFont="1" applyFill="1" applyBorder="1" applyAlignment="1" applyProtection="1">
      <alignment horizontal="left"/>
      <protection locked="0"/>
    </xf>
    <xf numFmtId="43" fontId="3" fillId="0" borderId="3" xfId="1" applyFont="1" applyFill="1" applyBorder="1" applyAlignment="1" applyProtection="1">
      <alignment horizontal="left"/>
      <protection locked="0"/>
    </xf>
    <xf numFmtId="43" fontId="3" fillId="0" borderId="4" xfId="1" applyFont="1" applyFill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center" vertical="center"/>
      <protection locked="0"/>
    </xf>
    <xf numFmtId="0" fontId="3" fillId="7" borderId="12" xfId="0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 applyProtection="1">
      <alignment horizontal="center" vertical="center"/>
      <protection locked="0"/>
    </xf>
    <xf numFmtId="0" fontId="3" fillId="7" borderId="8" xfId="0" applyFont="1" applyFill="1" applyBorder="1" applyAlignment="1" applyProtection="1">
      <alignment horizontal="center" vertical="center"/>
      <protection locked="0"/>
    </xf>
    <xf numFmtId="0" fontId="3" fillId="7" borderId="13" xfId="0" applyFont="1" applyFill="1" applyBorder="1" applyAlignment="1" applyProtection="1">
      <alignment horizontal="center" vertical="center"/>
      <protection locked="0"/>
    </xf>
    <xf numFmtId="0" fontId="3" fillId="7" borderId="11" xfId="0" applyFont="1" applyFill="1" applyBorder="1" applyAlignment="1" applyProtection="1">
      <alignment horizontal="center" vertical="center"/>
      <protection locked="0"/>
    </xf>
    <xf numFmtId="2" fontId="3" fillId="7" borderId="5" xfId="1" applyNumberFormat="1" applyFont="1" applyFill="1" applyBorder="1" applyAlignment="1" applyProtection="1">
      <alignment horizontal="center" vertical="center" wrapText="1"/>
      <protection locked="0"/>
    </xf>
    <xf numFmtId="2" fontId="3" fillId="7" borderId="6" xfId="1" applyNumberFormat="1" applyFont="1" applyFill="1" applyBorder="1" applyAlignment="1" applyProtection="1">
      <alignment horizontal="center" vertical="center" wrapText="1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9" fontId="10" fillId="0" borderId="1" xfId="2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2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3" fontId="3" fillId="0" borderId="5" xfId="1" applyFont="1" applyFill="1" applyBorder="1" applyAlignment="1" applyProtection="1">
      <alignment horizontal="center" vertical="center"/>
      <protection locked="0"/>
    </xf>
    <xf numFmtId="43" fontId="3" fillId="0" borderId="6" xfId="1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3" fontId="3" fillId="4" borderId="2" xfId="1" applyFont="1" applyFill="1" applyBorder="1" applyAlignment="1" applyProtection="1">
      <alignment horizontal="left"/>
      <protection locked="0"/>
    </xf>
    <xf numFmtId="43" fontId="3" fillId="4" borderId="3" xfId="1" applyFont="1" applyFill="1" applyBorder="1" applyAlignment="1" applyProtection="1">
      <alignment horizontal="left"/>
      <protection locked="0"/>
    </xf>
    <xf numFmtId="43" fontId="3" fillId="4" borderId="4" xfId="1" applyFont="1" applyFill="1" applyBorder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2" fontId="3" fillId="0" borderId="5" xfId="1" applyNumberFormat="1" applyFont="1" applyFill="1" applyBorder="1" applyAlignment="1" applyProtection="1">
      <alignment horizontal="center" vertical="center" wrapText="1"/>
      <protection locked="0"/>
    </xf>
    <xf numFmtId="2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</cellXfs>
  <cellStyles count="5">
    <cellStyle name="Comma 2" xfId="3"/>
    <cellStyle name="เครื่องหมายจุลภาค" xfId="1" builtinId="3"/>
    <cellStyle name="ปกติ" xfId="0" builtinId="0"/>
    <cellStyle name="ปกติ 2" xfId="4"/>
    <cellStyle name="เปอร์เซ็นต์" xfId="2" builtinId="5"/>
  </cellStyles>
  <dxfs count="0"/>
  <tableStyles count="1" defaultTableStyle="TableStyleMedium2" defaultPivotStyle="PivotStyleLight16">
    <tableStyle name="Table Style 1" pivot="0" count="0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39</xdr:row>
      <xdr:rowOff>156883</xdr:rowOff>
    </xdr:from>
    <xdr:to>
      <xdr:col>9</xdr:col>
      <xdr:colOff>795619</xdr:colOff>
      <xdr:row>39</xdr:row>
      <xdr:rowOff>515471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738AA201-5527-424F-B21A-7AF4BAE6AB6B}"/>
            </a:ext>
          </a:extLst>
        </xdr:cNvPr>
        <xdr:cNvSpPr txBox="1"/>
      </xdr:nvSpPr>
      <xdr:spPr>
        <a:xfrm>
          <a:off x="168088" y="14511618"/>
          <a:ext cx="7362266" cy="35858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h-TH" sz="1100" b="1"/>
            <a:t>หากมีข้อสงสัยสอบถามได้ที่เบอร์ 343 (แผนกประเมินผลการดำเนินงาน)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35</xdr:row>
      <xdr:rowOff>156883</xdr:rowOff>
    </xdr:from>
    <xdr:to>
      <xdr:col>9</xdr:col>
      <xdr:colOff>795619</xdr:colOff>
      <xdr:row>35</xdr:row>
      <xdr:rowOff>515471</xdr:rowOff>
    </xdr:to>
    <xdr:sp macro="" textlink="">
      <xdr:nvSpPr>
        <xdr:cNvPr id="2" name="TextBox 2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68088" y="10029825"/>
          <a:ext cx="5513856" cy="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h-TH" sz="1100" b="1"/>
            <a:t>หากมีข้อสงสัยสอบถามได้ที่เบอร์ 343 (แผนกประเมินผลการดำเนินงาน)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39</xdr:row>
      <xdr:rowOff>156883</xdr:rowOff>
    </xdr:from>
    <xdr:to>
      <xdr:col>9</xdr:col>
      <xdr:colOff>795619</xdr:colOff>
      <xdr:row>39</xdr:row>
      <xdr:rowOff>515471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168088" y="11758333"/>
          <a:ext cx="6656856" cy="13951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h-TH" sz="1100" b="1"/>
            <a:t>หากมีข้อสงสัยสอบถามได้ที่เบอร์ 343 (แผนกประเมินผลการดำเนินงาน)</a:t>
          </a:r>
        </a:p>
      </xdr:txBody>
    </xdr:sp>
    <xdr:clientData/>
  </xdr:twoCellAnchor>
  <xdr:twoCellAnchor>
    <xdr:from>
      <xdr:col>0</xdr:col>
      <xdr:colOff>168088</xdr:colOff>
      <xdr:row>33</xdr:row>
      <xdr:rowOff>156883</xdr:rowOff>
    </xdr:from>
    <xdr:to>
      <xdr:col>9</xdr:col>
      <xdr:colOff>795619</xdr:colOff>
      <xdr:row>33</xdr:row>
      <xdr:rowOff>515471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168088" y="10125075"/>
          <a:ext cx="6656856" cy="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h-TH" sz="1100" b="1"/>
            <a:t>หากมีข้อสงสัยสอบถามได้ที่เบอร์ 343 (แผนกประเมินผลการดำเนินงาน)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57"/>
  <sheetViews>
    <sheetView tabSelected="1" view="pageBreakPreview" zoomScale="50" zoomScaleNormal="60" zoomScaleSheetLayoutView="50" workbookViewId="0">
      <selection activeCell="V10" sqref="V10"/>
    </sheetView>
  </sheetViews>
  <sheetFormatPr defaultColWidth="10.5" defaultRowHeight="23.25" x14ac:dyDescent="0.5"/>
  <cols>
    <col min="1" max="4" width="10.5" style="22"/>
    <col min="5" max="5" width="7.5" style="22" customWidth="1"/>
    <col min="6" max="6" width="0.25" style="22" customWidth="1"/>
    <col min="7" max="7" width="9.5" style="23" customWidth="1"/>
    <col min="8" max="8" width="6.75" style="22" customWidth="1"/>
    <col min="9" max="9" width="5.75" style="22" customWidth="1"/>
    <col min="10" max="12" width="10.625" style="22" bestFit="1" customWidth="1"/>
    <col min="13" max="16" width="10.625" style="22" customWidth="1"/>
    <col min="17" max="20" width="10.5" style="22" customWidth="1"/>
    <col min="21" max="21" width="9.625" style="22" customWidth="1"/>
    <col min="22" max="22" width="10.375" style="22" customWidth="1"/>
    <col min="23" max="23" width="8.375" style="22" customWidth="1"/>
    <col min="24" max="24" width="10.375" style="22" customWidth="1"/>
    <col min="25" max="25" width="8.375" style="22" customWidth="1"/>
    <col min="26" max="26" width="20.375" style="22" customWidth="1"/>
    <col min="27" max="27" width="16.125" style="22" customWidth="1"/>
    <col min="28" max="28" width="15.875" style="22" customWidth="1"/>
    <col min="29" max="29" width="20.375" style="22" customWidth="1"/>
    <col min="30" max="16384" width="10.5" style="22"/>
  </cols>
  <sheetData>
    <row r="1" spans="1:56" ht="29.25" x14ac:dyDescent="0.6">
      <c r="A1" s="148" t="s">
        <v>40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</row>
    <row r="2" spans="1:56" x14ac:dyDescent="0.5">
      <c r="A2" s="120" t="s">
        <v>34</v>
      </c>
      <c r="B2" s="120"/>
      <c r="C2" s="121"/>
      <c r="D2" s="122"/>
      <c r="E2" s="122"/>
      <c r="F2" s="122"/>
      <c r="G2" s="122"/>
      <c r="H2" s="122"/>
      <c r="I2" s="122"/>
      <c r="J2" s="122"/>
      <c r="K2" s="123"/>
      <c r="L2" s="124"/>
      <c r="M2" s="125"/>
      <c r="N2" s="125"/>
      <c r="O2" s="125"/>
      <c r="P2" s="125"/>
      <c r="Q2" s="125"/>
      <c r="R2" s="125"/>
      <c r="S2" s="125"/>
      <c r="T2" s="125"/>
      <c r="U2" s="125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</row>
    <row r="3" spans="1:56" x14ac:dyDescent="0.5">
      <c r="A3" s="143" t="s">
        <v>35</v>
      </c>
      <c r="B3" s="143"/>
      <c r="C3" s="121"/>
      <c r="D3" s="122"/>
      <c r="E3" s="122"/>
      <c r="F3" s="122"/>
      <c r="G3" s="122"/>
      <c r="H3" s="122"/>
      <c r="I3" s="122"/>
      <c r="J3" s="122"/>
      <c r="K3" s="123"/>
      <c r="L3" s="126"/>
      <c r="M3" s="127"/>
      <c r="N3" s="127"/>
      <c r="O3" s="127"/>
      <c r="P3" s="127"/>
      <c r="Q3" s="127"/>
      <c r="R3" s="127"/>
      <c r="S3" s="127"/>
      <c r="T3" s="127"/>
      <c r="U3" s="127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</row>
    <row r="4" spans="1:56" x14ac:dyDescent="0.5">
      <c r="A4" s="120" t="s">
        <v>39</v>
      </c>
      <c r="B4" s="120"/>
      <c r="C4" s="121"/>
      <c r="D4" s="122"/>
      <c r="E4" s="122"/>
      <c r="F4" s="122"/>
      <c r="G4" s="122"/>
      <c r="H4" s="122"/>
      <c r="I4" s="122"/>
      <c r="J4" s="122"/>
      <c r="K4" s="123"/>
      <c r="L4" s="126"/>
      <c r="M4" s="127"/>
      <c r="N4" s="127"/>
      <c r="O4" s="127"/>
      <c r="P4" s="127"/>
      <c r="Q4" s="127"/>
      <c r="R4" s="127"/>
      <c r="S4" s="127"/>
      <c r="T4" s="127"/>
      <c r="U4" s="127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</row>
    <row r="5" spans="1:56" x14ac:dyDescent="0.5">
      <c r="A5" s="21"/>
      <c r="B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</row>
    <row r="6" spans="1:56" s="2" customFormat="1" x14ac:dyDescent="0.5">
      <c r="A6" s="1" t="s">
        <v>36</v>
      </c>
      <c r="B6" s="1"/>
      <c r="G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s="21" customFormat="1" x14ac:dyDescent="0.2">
      <c r="A7" s="128" t="s">
        <v>17</v>
      </c>
      <c r="B7" s="130" t="s">
        <v>36</v>
      </c>
      <c r="C7" s="131"/>
      <c r="D7" s="131"/>
      <c r="E7" s="131"/>
      <c r="F7" s="132"/>
      <c r="G7" s="136" t="s">
        <v>18</v>
      </c>
      <c r="H7" s="138" t="s">
        <v>1</v>
      </c>
      <c r="I7" s="128"/>
      <c r="J7" s="140" t="s">
        <v>16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2"/>
      <c r="V7" s="144" t="s">
        <v>24</v>
      </c>
      <c r="W7" s="145"/>
      <c r="X7" s="144" t="s">
        <v>25</v>
      </c>
      <c r="Y7" s="145"/>
      <c r="Z7" s="138" t="s">
        <v>26</v>
      </c>
      <c r="AA7" s="128" t="s">
        <v>27</v>
      </c>
      <c r="AB7" s="138" t="s">
        <v>30</v>
      </c>
      <c r="AC7" s="128" t="s">
        <v>28</v>
      </c>
    </row>
    <row r="8" spans="1:56" s="21" customFormat="1" x14ac:dyDescent="0.2">
      <c r="A8" s="129"/>
      <c r="B8" s="133"/>
      <c r="C8" s="134"/>
      <c r="D8" s="134"/>
      <c r="E8" s="134"/>
      <c r="F8" s="135"/>
      <c r="G8" s="137"/>
      <c r="H8" s="139"/>
      <c r="I8" s="129"/>
      <c r="J8" s="30" t="s">
        <v>4</v>
      </c>
      <c r="K8" s="30" t="s">
        <v>5</v>
      </c>
      <c r="L8" s="30" t="s">
        <v>6</v>
      </c>
      <c r="M8" s="30" t="s">
        <v>7</v>
      </c>
      <c r="N8" s="30" t="s">
        <v>8</v>
      </c>
      <c r="O8" s="30" t="s">
        <v>9</v>
      </c>
      <c r="P8" s="30" t="s">
        <v>10</v>
      </c>
      <c r="Q8" s="30" t="s">
        <v>11</v>
      </c>
      <c r="R8" s="30" t="s">
        <v>12</v>
      </c>
      <c r="S8" s="30" t="s">
        <v>13</v>
      </c>
      <c r="T8" s="30" t="s">
        <v>14</v>
      </c>
      <c r="U8" s="30" t="s">
        <v>15</v>
      </c>
      <c r="V8" s="146"/>
      <c r="W8" s="147"/>
      <c r="X8" s="146"/>
      <c r="Y8" s="147"/>
      <c r="Z8" s="139"/>
      <c r="AA8" s="129"/>
      <c r="AB8" s="139"/>
      <c r="AC8" s="129"/>
    </row>
    <row r="9" spans="1:56" s="24" customFormat="1" x14ac:dyDescent="0.2">
      <c r="A9" s="106">
        <v>1</v>
      </c>
      <c r="B9" s="108" t="s">
        <v>33</v>
      </c>
      <c r="C9" s="109"/>
      <c r="D9" s="109"/>
      <c r="E9" s="109"/>
      <c r="F9" s="110"/>
      <c r="G9" s="114"/>
      <c r="H9" s="116"/>
      <c r="I9" s="31" t="s">
        <v>2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5">
        <f>SUM(J9:U9)</f>
        <v>0</v>
      </c>
      <c r="W9" s="118">
        <f>IF(V10=0,0,V10/V9)</f>
        <v>0</v>
      </c>
      <c r="X9" s="6">
        <f t="shared" ref="X9:X12" si="0">SUM(J9:U9)</f>
        <v>0</v>
      </c>
      <c r="Y9" s="118">
        <f>IF(X10=0,0,X10/X9)</f>
        <v>0</v>
      </c>
      <c r="Z9" s="116"/>
      <c r="AA9" s="116"/>
      <c r="AB9" s="104"/>
      <c r="AC9" s="104"/>
    </row>
    <row r="10" spans="1:56" s="24" customFormat="1" x14ac:dyDescent="0.2">
      <c r="A10" s="107"/>
      <c r="B10" s="111"/>
      <c r="C10" s="112"/>
      <c r="D10" s="112"/>
      <c r="E10" s="112"/>
      <c r="F10" s="113"/>
      <c r="G10" s="115"/>
      <c r="H10" s="117"/>
      <c r="I10" s="4" t="s">
        <v>3</v>
      </c>
      <c r="J10" s="7"/>
      <c r="K10" s="7"/>
      <c r="L10" s="7"/>
      <c r="M10" s="7"/>
      <c r="N10" s="7"/>
      <c r="O10" s="7"/>
      <c r="P10" s="7"/>
      <c r="Q10" s="8"/>
      <c r="R10" s="8"/>
      <c r="S10" s="8"/>
      <c r="T10" s="8"/>
      <c r="U10" s="8"/>
      <c r="V10" s="5">
        <f t="shared" ref="V10:V12" si="1">SUM(J10:U10)</f>
        <v>0</v>
      </c>
      <c r="W10" s="119"/>
      <c r="X10" s="6">
        <f t="shared" si="0"/>
        <v>0</v>
      </c>
      <c r="Y10" s="119"/>
      <c r="Z10" s="117"/>
      <c r="AA10" s="117"/>
      <c r="AB10" s="105"/>
      <c r="AC10" s="105"/>
    </row>
    <row r="11" spans="1:56" s="24" customFormat="1" ht="21.75" customHeight="1" x14ac:dyDescent="0.2">
      <c r="A11" s="106">
        <v>2</v>
      </c>
      <c r="B11" s="108" t="s">
        <v>33</v>
      </c>
      <c r="C11" s="109"/>
      <c r="D11" s="109"/>
      <c r="E11" s="109"/>
      <c r="F11" s="110"/>
      <c r="G11" s="114"/>
      <c r="H11" s="116"/>
      <c r="I11" s="31" t="s">
        <v>2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5">
        <f t="shared" si="1"/>
        <v>0</v>
      </c>
      <c r="W11" s="118">
        <f>IF(V12=0,0,V12/V11)</f>
        <v>0</v>
      </c>
      <c r="X11" s="6">
        <f t="shared" si="0"/>
        <v>0</v>
      </c>
      <c r="Y11" s="118">
        <f>IF(X12=0,0,X12/X11)</f>
        <v>0</v>
      </c>
      <c r="Z11" s="116"/>
      <c r="AA11" s="116"/>
      <c r="AB11" s="104"/>
      <c r="AC11" s="104"/>
    </row>
    <row r="12" spans="1:56" s="24" customFormat="1" x14ac:dyDescent="0.2">
      <c r="A12" s="107"/>
      <c r="B12" s="111"/>
      <c r="C12" s="112"/>
      <c r="D12" s="112"/>
      <c r="E12" s="112"/>
      <c r="F12" s="113"/>
      <c r="G12" s="115"/>
      <c r="H12" s="117"/>
      <c r="I12" s="4" t="s">
        <v>3</v>
      </c>
      <c r="J12" s="8"/>
      <c r="K12" s="8"/>
      <c r="L12" s="8"/>
      <c r="M12" s="8"/>
      <c r="N12" s="6"/>
      <c r="O12" s="8"/>
      <c r="P12" s="8"/>
      <c r="Q12" s="8"/>
      <c r="R12" s="8"/>
      <c r="S12" s="8"/>
      <c r="T12" s="8"/>
      <c r="U12" s="8"/>
      <c r="V12" s="5">
        <f t="shared" si="1"/>
        <v>0</v>
      </c>
      <c r="W12" s="119"/>
      <c r="X12" s="6">
        <f t="shared" si="0"/>
        <v>0</v>
      </c>
      <c r="Y12" s="119"/>
      <c r="Z12" s="117"/>
      <c r="AA12" s="117"/>
      <c r="AB12" s="105"/>
      <c r="AC12" s="105"/>
    </row>
    <row r="13" spans="1:56" s="17" customFormat="1" x14ac:dyDescent="0.2">
      <c r="A13" s="95" t="s">
        <v>20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">
        <f>AVERAGE(W9:W12)</f>
        <v>0</v>
      </c>
      <c r="X13" s="10">
        <f>SUM(L13:V13)</f>
        <v>0</v>
      </c>
      <c r="Y13" s="9">
        <f>AVERAGE(Y9:Y12)</f>
        <v>0</v>
      </c>
      <c r="Z13" s="11"/>
      <c r="AA13" s="11"/>
      <c r="AB13" s="12"/>
      <c r="AC13" s="12"/>
    </row>
    <row r="14" spans="1:56" s="15" customFormat="1" ht="87" hidden="1" customHeight="1" x14ac:dyDescent="0.2">
      <c r="A14" s="98" t="s">
        <v>37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13"/>
      <c r="W14" s="14"/>
      <c r="X14" s="13"/>
      <c r="Y14" s="14"/>
      <c r="AB14" s="14"/>
    </row>
    <row r="15" spans="1:56" s="17" customFormat="1" x14ac:dyDescent="0.2">
      <c r="A15" s="1" t="s">
        <v>19</v>
      </c>
      <c r="B15" s="1"/>
      <c r="C15" s="1"/>
      <c r="D15" s="1"/>
      <c r="E15" s="1"/>
      <c r="F15" s="1"/>
      <c r="G15" s="16"/>
      <c r="H15" s="1"/>
      <c r="I15" s="1"/>
      <c r="J15" s="1"/>
      <c r="K15" s="1"/>
      <c r="N15" s="1"/>
      <c r="P15" s="1"/>
      <c r="Q15" s="18"/>
      <c r="R15" s="1"/>
      <c r="V15" s="1"/>
      <c r="W15" s="1"/>
      <c r="X15" s="1"/>
      <c r="Y15" s="1"/>
      <c r="Z15" s="1"/>
      <c r="AA15" s="1"/>
      <c r="AB15" s="1"/>
      <c r="AC15" s="1"/>
    </row>
    <row r="16" spans="1:56" s="21" customFormat="1" x14ac:dyDescent="0.2">
      <c r="A16" s="102" t="s">
        <v>0</v>
      </c>
      <c r="B16" s="102" t="s">
        <v>31</v>
      </c>
      <c r="C16" s="102"/>
      <c r="D16" s="102"/>
      <c r="E16" s="102"/>
      <c r="F16" s="102"/>
      <c r="G16" s="103" t="s">
        <v>18</v>
      </c>
      <c r="H16" s="101" t="s">
        <v>1</v>
      </c>
      <c r="I16" s="102"/>
      <c r="J16" s="102" t="s">
        <v>21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99" t="s">
        <v>22</v>
      </c>
      <c r="W16" s="100"/>
      <c r="X16" s="99" t="s">
        <v>23</v>
      </c>
      <c r="Y16" s="100"/>
      <c r="Z16" s="101" t="s">
        <v>29</v>
      </c>
      <c r="AA16" s="102" t="s">
        <v>27</v>
      </c>
      <c r="AB16" s="102" t="s">
        <v>30</v>
      </c>
      <c r="AC16" s="102" t="s">
        <v>28</v>
      </c>
    </row>
    <row r="17" spans="1:30" s="21" customFormat="1" x14ac:dyDescent="0.2">
      <c r="A17" s="102"/>
      <c r="B17" s="102"/>
      <c r="C17" s="102"/>
      <c r="D17" s="102"/>
      <c r="E17" s="102"/>
      <c r="F17" s="102"/>
      <c r="G17" s="103"/>
      <c r="H17" s="101"/>
      <c r="I17" s="102"/>
      <c r="J17" s="30" t="s">
        <v>4</v>
      </c>
      <c r="K17" s="30" t="s">
        <v>5</v>
      </c>
      <c r="L17" s="30" t="s">
        <v>6</v>
      </c>
      <c r="M17" s="30" t="s">
        <v>7</v>
      </c>
      <c r="N17" s="30" t="s">
        <v>8</v>
      </c>
      <c r="O17" s="30" t="s">
        <v>9</v>
      </c>
      <c r="P17" s="30" t="s">
        <v>10</v>
      </c>
      <c r="Q17" s="30" t="s">
        <v>11</v>
      </c>
      <c r="R17" s="30" t="s">
        <v>12</v>
      </c>
      <c r="S17" s="30" t="s">
        <v>13</v>
      </c>
      <c r="T17" s="30" t="s">
        <v>14</v>
      </c>
      <c r="U17" s="30" t="s">
        <v>15</v>
      </c>
      <c r="V17" s="100"/>
      <c r="W17" s="100"/>
      <c r="X17" s="100"/>
      <c r="Y17" s="100"/>
      <c r="Z17" s="101"/>
      <c r="AA17" s="102"/>
      <c r="AB17" s="102"/>
      <c r="AC17" s="102"/>
      <c r="AD17" s="25"/>
    </row>
    <row r="18" spans="1:30" s="24" customFormat="1" x14ac:dyDescent="0.2">
      <c r="A18" s="88">
        <v>1</v>
      </c>
      <c r="B18" s="89" t="s">
        <v>32</v>
      </c>
      <c r="C18" s="89"/>
      <c r="D18" s="89"/>
      <c r="E18" s="89"/>
      <c r="F18" s="89"/>
      <c r="G18" s="90"/>
      <c r="H18" s="88"/>
      <c r="I18" s="31" t="s">
        <v>2</v>
      </c>
      <c r="J18" s="33"/>
      <c r="K18" s="33"/>
      <c r="L18" s="34"/>
      <c r="M18" s="33"/>
      <c r="N18" s="33"/>
      <c r="O18" s="33"/>
      <c r="P18" s="33"/>
      <c r="Q18" s="33"/>
      <c r="R18" s="33"/>
      <c r="S18" s="33"/>
      <c r="T18" s="33"/>
      <c r="U18" s="33"/>
      <c r="V18" s="6">
        <f>SUM(J18:U18)</f>
        <v>0</v>
      </c>
      <c r="W18" s="91">
        <f>IF(V19=0,0,V19/V18)</f>
        <v>0</v>
      </c>
      <c r="X18" s="6">
        <f t="shared" ref="X18:X37" si="2">SUM(J18:U18)</f>
        <v>0</v>
      </c>
      <c r="Y18" s="91">
        <f>IF(X19=0,0,X19/X18)</f>
        <v>0</v>
      </c>
      <c r="Z18" s="92"/>
      <c r="AA18" s="88"/>
      <c r="AB18" s="87"/>
      <c r="AC18" s="87"/>
    </row>
    <row r="19" spans="1:30" s="24" customFormat="1" x14ac:dyDescent="0.2">
      <c r="A19" s="88"/>
      <c r="B19" s="89"/>
      <c r="C19" s="89"/>
      <c r="D19" s="89"/>
      <c r="E19" s="89"/>
      <c r="F19" s="89"/>
      <c r="G19" s="90"/>
      <c r="H19" s="88"/>
      <c r="I19" s="4" t="s">
        <v>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6">
        <f t="shared" ref="V19:V37" si="3">SUM(J19:U19)</f>
        <v>0</v>
      </c>
      <c r="W19" s="91"/>
      <c r="X19" s="6">
        <f t="shared" si="2"/>
        <v>0</v>
      </c>
      <c r="Y19" s="91"/>
      <c r="Z19" s="92"/>
      <c r="AA19" s="88"/>
      <c r="AB19" s="87"/>
      <c r="AC19" s="87"/>
    </row>
    <row r="20" spans="1:30" s="24" customFormat="1" ht="21.75" customHeight="1" x14ac:dyDescent="0.2">
      <c r="A20" s="88">
        <v>2</v>
      </c>
      <c r="B20" s="89" t="s">
        <v>32</v>
      </c>
      <c r="C20" s="89"/>
      <c r="D20" s="89"/>
      <c r="E20" s="89"/>
      <c r="F20" s="89"/>
      <c r="G20" s="90"/>
      <c r="H20" s="88"/>
      <c r="I20" s="31" t="s">
        <v>2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6">
        <f t="shared" si="3"/>
        <v>0</v>
      </c>
      <c r="W20" s="91">
        <f>IF(V21=0,0,V21/V20)</f>
        <v>0</v>
      </c>
      <c r="X20" s="6">
        <f>SUM(J20:U20)</f>
        <v>0</v>
      </c>
      <c r="Y20" s="94">
        <f>IF(X21=0,0,X21/X20)</f>
        <v>0</v>
      </c>
      <c r="Z20" s="92"/>
      <c r="AA20" s="88"/>
      <c r="AB20" s="87"/>
      <c r="AC20" s="87"/>
    </row>
    <row r="21" spans="1:30" s="24" customFormat="1" x14ac:dyDescent="0.2">
      <c r="A21" s="88"/>
      <c r="B21" s="89"/>
      <c r="C21" s="89"/>
      <c r="D21" s="89"/>
      <c r="E21" s="89"/>
      <c r="F21" s="89"/>
      <c r="G21" s="90"/>
      <c r="H21" s="88"/>
      <c r="I21" s="4" t="s">
        <v>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6">
        <f t="shared" si="3"/>
        <v>0</v>
      </c>
      <c r="W21" s="91"/>
      <c r="X21" s="6">
        <f t="shared" si="2"/>
        <v>0</v>
      </c>
      <c r="Y21" s="94"/>
      <c r="Z21" s="92"/>
      <c r="AA21" s="88"/>
      <c r="AB21" s="87"/>
      <c r="AC21" s="87"/>
    </row>
    <row r="22" spans="1:30" s="24" customFormat="1" ht="21.75" customHeight="1" x14ac:dyDescent="0.2">
      <c r="A22" s="88">
        <v>3</v>
      </c>
      <c r="B22" s="89" t="s">
        <v>32</v>
      </c>
      <c r="C22" s="89"/>
      <c r="D22" s="89"/>
      <c r="E22" s="89"/>
      <c r="F22" s="89"/>
      <c r="G22" s="90"/>
      <c r="H22" s="88"/>
      <c r="I22" s="31" t="s">
        <v>2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6">
        <f t="shared" si="3"/>
        <v>0</v>
      </c>
      <c r="W22" s="91">
        <f>IF(V23=0,0,V23/V22)</f>
        <v>0</v>
      </c>
      <c r="X22" s="6">
        <f t="shared" si="2"/>
        <v>0</v>
      </c>
      <c r="Y22" s="91">
        <f>IF(X23=0,0,X23/X22)</f>
        <v>0</v>
      </c>
      <c r="Z22" s="92"/>
      <c r="AA22" s="88"/>
      <c r="AB22" s="87"/>
      <c r="AC22" s="87"/>
    </row>
    <row r="23" spans="1:30" s="24" customFormat="1" x14ac:dyDescent="0.2">
      <c r="A23" s="88"/>
      <c r="B23" s="89"/>
      <c r="C23" s="89"/>
      <c r="D23" s="89"/>
      <c r="E23" s="89"/>
      <c r="F23" s="89"/>
      <c r="G23" s="90"/>
      <c r="H23" s="88"/>
      <c r="I23" s="4" t="s">
        <v>3</v>
      </c>
      <c r="J23" s="19"/>
      <c r="K23" s="19"/>
      <c r="L23" s="19"/>
      <c r="M23" s="19"/>
      <c r="N23" s="19"/>
      <c r="O23" s="19"/>
      <c r="P23" s="19"/>
      <c r="Q23" s="8"/>
      <c r="R23" s="8"/>
      <c r="S23" s="8"/>
      <c r="T23" s="8"/>
      <c r="U23" s="8"/>
      <c r="V23" s="6">
        <f t="shared" si="3"/>
        <v>0</v>
      </c>
      <c r="W23" s="91"/>
      <c r="X23" s="6">
        <f t="shared" si="2"/>
        <v>0</v>
      </c>
      <c r="Y23" s="91"/>
      <c r="Z23" s="92"/>
      <c r="AA23" s="88"/>
      <c r="AB23" s="87"/>
      <c r="AC23" s="87"/>
    </row>
    <row r="24" spans="1:30" s="24" customFormat="1" ht="21.75" customHeight="1" x14ac:dyDescent="0.2">
      <c r="A24" s="88">
        <v>4</v>
      </c>
      <c r="B24" s="89" t="s">
        <v>32</v>
      </c>
      <c r="C24" s="89"/>
      <c r="D24" s="89"/>
      <c r="E24" s="89"/>
      <c r="F24" s="89"/>
      <c r="G24" s="90"/>
      <c r="H24" s="88"/>
      <c r="I24" s="31" t="s">
        <v>2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6">
        <f t="shared" si="3"/>
        <v>0</v>
      </c>
      <c r="W24" s="91">
        <f>IF(V25=0,0,V25/V24)</f>
        <v>0</v>
      </c>
      <c r="X24" s="6">
        <f t="shared" si="2"/>
        <v>0</v>
      </c>
      <c r="Y24" s="91">
        <f>IF(X25=0,0,X25/X24)</f>
        <v>0</v>
      </c>
      <c r="Z24" s="92"/>
      <c r="AA24" s="88"/>
      <c r="AB24" s="87"/>
      <c r="AC24" s="87"/>
    </row>
    <row r="25" spans="1:30" s="24" customFormat="1" x14ac:dyDescent="0.2">
      <c r="A25" s="88"/>
      <c r="B25" s="89"/>
      <c r="C25" s="89"/>
      <c r="D25" s="89"/>
      <c r="E25" s="89"/>
      <c r="F25" s="89"/>
      <c r="G25" s="90"/>
      <c r="H25" s="88"/>
      <c r="I25" s="4" t="s">
        <v>3</v>
      </c>
      <c r="J25" s="19"/>
      <c r="K25" s="19"/>
      <c r="L25" s="19"/>
      <c r="M25" s="19"/>
      <c r="N25" s="19"/>
      <c r="O25" s="19"/>
      <c r="P25" s="19"/>
      <c r="Q25" s="8"/>
      <c r="R25" s="8"/>
      <c r="S25" s="8"/>
      <c r="T25" s="8"/>
      <c r="U25" s="8"/>
      <c r="V25" s="6">
        <f t="shared" si="3"/>
        <v>0</v>
      </c>
      <c r="W25" s="91"/>
      <c r="X25" s="6">
        <f t="shared" si="2"/>
        <v>0</v>
      </c>
      <c r="Y25" s="91"/>
      <c r="Z25" s="92"/>
      <c r="AA25" s="88"/>
      <c r="AB25" s="87"/>
      <c r="AC25" s="87"/>
    </row>
    <row r="26" spans="1:30" s="24" customFormat="1" ht="21.75" customHeight="1" x14ac:dyDescent="0.2">
      <c r="A26" s="88">
        <v>5</v>
      </c>
      <c r="B26" s="89" t="s">
        <v>32</v>
      </c>
      <c r="C26" s="89"/>
      <c r="D26" s="89"/>
      <c r="E26" s="89"/>
      <c r="F26" s="89"/>
      <c r="G26" s="90"/>
      <c r="H26" s="88"/>
      <c r="I26" s="31" t="s">
        <v>2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6">
        <f t="shared" si="3"/>
        <v>0</v>
      </c>
      <c r="W26" s="91">
        <f>IF(V27=0,0,V27/V26)</f>
        <v>0</v>
      </c>
      <c r="X26" s="6">
        <f t="shared" si="2"/>
        <v>0</v>
      </c>
      <c r="Y26" s="91">
        <f>IF(X27=0,0,X27/X26)</f>
        <v>0</v>
      </c>
      <c r="Z26" s="92"/>
      <c r="AA26" s="88"/>
      <c r="AB26" s="87"/>
      <c r="AC26" s="87"/>
    </row>
    <row r="27" spans="1:30" s="24" customFormat="1" x14ac:dyDescent="0.2">
      <c r="A27" s="88"/>
      <c r="B27" s="89"/>
      <c r="C27" s="89"/>
      <c r="D27" s="89"/>
      <c r="E27" s="89"/>
      <c r="F27" s="89"/>
      <c r="G27" s="90"/>
      <c r="H27" s="88"/>
      <c r="I27" s="4" t="s">
        <v>3</v>
      </c>
      <c r="J27" s="19"/>
      <c r="K27" s="19"/>
      <c r="L27" s="19"/>
      <c r="M27" s="19"/>
      <c r="N27" s="19"/>
      <c r="O27" s="19"/>
      <c r="P27" s="19"/>
      <c r="Q27" s="8"/>
      <c r="R27" s="8"/>
      <c r="S27" s="8"/>
      <c r="T27" s="8"/>
      <c r="U27" s="8"/>
      <c r="V27" s="6">
        <f t="shared" si="3"/>
        <v>0</v>
      </c>
      <c r="W27" s="91"/>
      <c r="X27" s="6">
        <f t="shared" si="2"/>
        <v>0</v>
      </c>
      <c r="Y27" s="91"/>
      <c r="Z27" s="92"/>
      <c r="AA27" s="88"/>
      <c r="AB27" s="87"/>
      <c r="AC27" s="87"/>
    </row>
    <row r="28" spans="1:30" s="24" customFormat="1" ht="21.75" customHeight="1" x14ac:dyDescent="0.2">
      <c r="A28" s="88">
        <v>6</v>
      </c>
      <c r="B28" s="89" t="s">
        <v>32</v>
      </c>
      <c r="C28" s="89"/>
      <c r="D28" s="89"/>
      <c r="E28" s="89"/>
      <c r="F28" s="89"/>
      <c r="G28" s="90"/>
      <c r="H28" s="88"/>
      <c r="I28" s="31" t="s">
        <v>2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6">
        <f t="shared" si="3"/>
        <v>0</v>
      </c>
      <c r="W28" s="91">
        <f>IF(V29=0,0,V29/V28)</f>
        <v>0</v>
      </c>
      <c r="X28" s="6">
        <f t="shared" si="2"/>
        <v>0</v>
      </c>
      <c r="Y28" s="91">
        <f>IF(X29=0,0,X29/X28)</f>
        <v>0</v>
      </c>
      <c r="Z28" s="92"/>
      <c r="AA28" s="88"/>
      <c r="AB28" s="87"/>
      <c r="AC28" s="87"/>
    </row>
    <row r="29" spans="1:30" s="24" customFormat="1" x14ac:dyDescent="0.2">
      <c r="A29" s="88"/>
      <c r="B29" s="89"/>
      <c r="C29" s="89"/>
      <c r="D29" s="89"/>
      <c r="E29" s="89"/>
      <c r="F29" s="89"/>
      <c r="G29" s="90"/>
      <c r="H29" s="88"/>
      <c r="I29" s="4" t="s">
        <v>3</v>
      </c>
      <c r="J29" s="19"/>
      <c r="K29" s="19"/>
      <c r="L29" s="19"/>
      <c r="M29" s="19"/>
      <c r="N29" s="19"/>
      <c r="O29" s="19"/>
      <c r="P29" s="19"/>
      <c r="Q29" s="8"/>
      <c r="R29" s="8"/>
      <c r="S29" s="8"/>
      <c r="T29" s="8"/>
      <c r="U29" s="8"/>
      <c r="V29" s="6">
        <f t="shared" si="3"/>
        <v>0</v>
      </c>
      <c r="W29" s="91"/>
      <c r="X29" s="6">
        <f t="shared" si="2"/>
        <v>0</v>
      </c>
      <c r="Y29" s="91"/>
      <c r="Z29" s="92"/>
      <c r="AA29" s="88"/>
      <c r="AB29" s="87"/>
      <c r="AC29" s="87"/>
    </row>
    <row r="30" spans="1:30" s="24" customFormat="1" ht="21.75" customHeight="1" x14ac:dyDescent="0.2">
      <c r="A30" s="88">
        <v>7</v>
      </c>
      <c r="B30" s="89" t="s">
        <v>32</v>
      </c>
      <c r="C30" s="89"/>
      <c r="D30" s="89"/>
      <c r="E30" s="89"/>
      <c r="F30" s="89"/>
      <c r="G30" s="90"/>
      <c r="H30" s="88"/>
      <c r="I30" s="31" t="s">
        <v>2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6">
        <f t="shared" si="3"/>
        <v>0</v>
      </c>
      <c r="W30" s="91">
        <f>IF(V31=0,0,V31/V30)</f>
        <v>0</v>
      </c>
      <c r="X30" s="6">
        <f t="shared" si="2"/>
        <v>0</v>
      </c>
      <c r="Y30" s="91">
        <f>IF(X31=0,0,X31/X30)</f>
        <v>0</v>
      </c>
      <c r="Z30" s="92"/>
      <c r="AA30" s="88"/>
      <c r="AB30" s="87"/>
      <c r="AC30" s="87"/>
    </row>
    <row r="31" spans="1:30" s="24" customFormat="1" x14ac:dyDescent="0.2">
      <c r="A31" s="88"/>
      <c r="B31" s="89"/>
      <c r="C31" s="89"/>
      <c r="D31" s="89"/>
      <c r="E31" s="89"/>
      <c r="F31" s="89"/>
      <c r="G31" s="90"/>
      <c r="H31" s="88"/>
      <c r="I31" s="4" t="s">
        <v>3</v>
      </c>
      <c r="J31" s="19"/>
      <c r="K31" s="19"/>
      <c r="L31" s="19"/>
      <c r="M31" s="19"/>
      <c r="N31" s="19"/>
      <c r="O31" s="19"/>
      <c r="P31" s="19"/>
      <c r="Q31" s="19"/>
      <c r="R31" s="8"/>
      <c r="S31" s="8"/>
      <c r="T31" s="8"/>
      <c r="U31" s="8"/>
      <c r="V31" s="6">
        <f t="shared" si="3"/>
        <v>0</v>
      </c>
      <c r="W31" s="91"/>
      <c r="X31" s="6">
        <f t="shared" si="2"/>
        <v>0</v>
      </c>
      <c r="Y31" s="91"/>
      <c r="Z31" s="92"/>
      <c r="AA31" s="88"/>
      <c r="AB31" s="87"/>
      <c r="AC31" s="87"/>
    </row>
    <row r="32" spans="1:30" s="24" customFormat="1" ht="21.75" customHeight="1" x14ac:dyDescent="0.2">
      <c r="A32" s="88">
        <v>8</v>
      </c>
      <c r="B32" s="89" t="s">
        <v>32</v>
      </c>
      <c r="C32" s="89"/>
      <c r="D32" s="89"/>
      <c r="E32" s="89"/>
      <c r="F32" s="89"/>
      <c r="G32" s="90"/>
      <c r="H32" s="88"/>
      <c r="I32" s="31" t="s">
        <v>2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6">
        <f t="shared" si="3"/>
        <v>0</v>
      </c>
      <c r="W32" s="93">
        <f>IF(V33=0,0,V33/V32)</f>
        <v>0</v>
      </c>
      <c r="X32" s="6">
        <f t="shared" si="2"/>
        <v>0</v>
      </c>
      <c r="Y32" s="91">
        <f>IF(X33=0,0,X33/X32)</f>
        <v>0</v>
      </c>
      <c r="Z32" s="92"/>
      <c r="AA32" s="88"/>
      <c r="AB32" s="87"/>
      <c r="AC32" s="87"/>
    </row>
    <row r="33" spans="1:29" s="24" customFormat="1" x14ac:dyDescent="0.2">
      <c r="A33" s="88"/>
      <c r="B33" s="89"/>
      <c r="C33" s="89"/>
      <c r="D33" s="89"/>
      <c r="E33" s="89"/>
      <c r="F33" s="89"/>
      <c r="G33" s="90"/>
      <c r="H33" s="88"/>
      <c r="I33" s="4" t="s">
        <v>3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6">
        <f t="shared" si="3"/>
        <v>0</v>
      </c>
      <c r="W33" s="93"/>
      <c r="X33" s="6">
        <f t="shared" si="2"/>
        <v>0</v>
      </c>
      <c r="Y33" s="91"/>
      <c r="Z33" s="92"/>
      <c r="AA33" s="88"/>
      <c r="AB33" s="87"/>
      <c r="AC33" s="87"/>
    </row>
    <row r="34" spans="1:29" s="24" customFormat="1" ht="21.75" customHeight="1" x14ac:dyDescent="0.2">
      <c r="A34" s="88">
        <v>9</v>
      </c>
      <c r="B34" s="89" t="s">
        <v>32</v>
      </c>
      <c r="C34" s="89"/>
      <c r="D34" s="89"/>
      <c r="E34" s="89"/>
      <c r="F34" s="89"/>
      <c r="G34" s="90"/>
      <c r="H34" s="88"/>
      <c r="I34" s="31" t="s">
        <v>2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6">
        <f>SUM(J34:U34)</f>
        <v>0</v>
      </c>
      <c r="W34" s="91">
        <f>IF(V35=0,0,V35/V34)</f>
        <v>0</v>
      </c>
      <c r="X34" s="6">
        <f t="shared" si="2"/>
        <v>0</v>
      </c>
      <c r="Y34" s="91">
        <f>IF(X35=0,0,X35/X34)</f>
        <v>0</v>
      </c>
      <c r="Z34" s="92"/>
      <c r="AA34" s="88"/>
      <c r="AB34" s="87"/>
      <c r="AC34" s="87"/>
    </row>
    <row r="35" spans="1:29" s="24" customFormat="1" x14ac:dyDescent="0.2">
      <c r="A35" s="88"/>
      <c r="B35" s="89"/>
      <c r="C35" s="89"/>
      <c r="D35" s="89"/>
      <c r="E35" s="89"/>
      <c r="F35" s="89"/>
      <c r="G35" s="90"/>
      <c r="H35" s="88"/>
      <c r="I35" s="4" t="s">
        <v>3</v>
      </c>
      <c r="J35" s="19"/>
      <c r="K35" s="19"/>
      <c r="L35" s="19"/>
      <c r="M35" s="19"/>
      <c r="N35" s="19"/>
      <c r="O35" s="19"/>
      <c r="P35" s="19"/>
      <c r="Q35" s="19"/>
      <c r="R35" s="8"/>
      <c r="S35" s="8"/>
      <c r="T35" s="8"/>
      <c r="U35" s="8"/>
      <c r="V35" s="6">
        <f>SUM(J35:U35)</f>
        <v>0</v>
      </c>
      <c r="W35" s="91"/>
      <c r="X35" s="6">
        <f t="shared" si="2"/>
        <v>0</v>
      </c>
      <c r="Y35" s="91"/>
      <c r="Z35" s="92"/>
      <c r="AA35" s="88"/>
      <c r="AB35" s="87"/>
      <c r="AC35" s="87"/>
    </row>
    <row r="36" spans="1:29" s="24" customFormat="1" ht="21.75" customHeight="1" x14ac:dyDescent="0.2">
      <c r="A36" s="88">
        <v>10</v>
      </c>
      <c r="B36" s="89" t="s">
        <v>32</v>
      </c>
      <c r="C36" s="89"/>
      <c r="D36" s="89"/>
      <c r="E36" s="89"/>
      <c r="F36" s="89"/>
      <c r="G36" s="90"/>
      <c r="H36" s="88"/>
      <c r="I36" s="31" t="s">
        <v>2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6">
        <f t="shared" si="3"/>
        <v>0</v>
      </c>
      <c r="W36" s="93">
        <f>IF(V37=0,0,V37/V36)</f>
        <v>0</v>
      </c>
      <c r="X36" s="6">
        <f t="shared" si="2"/>
        <v>0</v>
      </c>
      <c r="Y36" s="91">
        <f>IF(X37=0,0,X37/X36)</f>
        <v>0</v>
      </c>
      <c r="Z36" s="92"/>
      <c r="AA36" s="88"/>
      <c r="AB36" s="87"/>
      <c r="AC36" s="87"/>
    </row>
    <row r="37" spans="1:29" s="24" customFormat="1" x14ac:dyDescent="0.2">
      <c r="A37" s="88"/>
      <c r="B37" s="89"/>
      <c r="C37" s="89"/>
      <c r="D37" s="89"/>
      <c r="E37" s="89"/>
      <c r="F37" s="89"/>
      <c r="G37" s="90"/>
      <c r="H37" s="88"/>
      <c r="I37" s="4" t="s">
        <v>3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6">
        <f t="shared" si="3"/>
        <v>0</v>
      </c>
      <c r="W37" s="93"/>
      <c r="X37" s="6">
        <f t="shared" si="2"/>
        <v>0</v>
      </c>
      <c r="Y37" s="91"/>
      <c r="Z37" s="92"/>
      <c r="AA37" s="88"/>
      <c r="AB37" s="87"/>
      <c r="AC37" s="87"/>
    </row>
    <row r="38" spans="1:29" s="17" customFormat="1" x14ac:dyDescent="0.2">
      <c r="A38" s="149" t="s">
        <v>20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9">
        <f>AVERAGE(W18:W33)</f>
        <v>0</v>
      </c>
      <c r="X38" s="10">
        <f>SUM(L38:V38)</f>
        <v>0</v>
      </c>
      <c r="Y38" s="9">
        <f>AVERAGE(Y18:Y33)</f>
        <v>0</v>
      </c>
      <c r="Z38" s="11"/>
      <c r="AA38" s="11"/>
      <c r="AB38" s="12"/>
      <c r="AC38" s="12"/>
    </row>
    <row r="39" spans="1:29" s="15" customFormat="1" ht="126" hidden="1" customHeight="1" x14ac:dyDescent="0.2">
      <c r="A39" s="150" t="s">
        <v>38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</row>
    <row r="40" spans="1:29" ht="89.25" customHeight="1" x14ac:dyDescent="0.5"/>
    <row r="45" spans="1:29" x14ac:dyDescent="0.5">
      <c r="J45" s="26"/>
    </row>
    <row r="46" spans="1:29" x14ac:dyDescent="0.5">
      <c r="J46" s="26"/>
    </row>
    <row r="47" spans="1:29" x14ac:dyDescent="0.5">
      <c r="J47" s="26"/>
    </row>
    <row r="48" spans="1:29" x14ac:dyDescent="0.5">
      <c r="J48" s="26"/>
    </row>
    <row r="49" spans="9:10" x14ac:dyDescent="0.5">
      <c r="J49" s="26"/>
    </row>
    <row r="50" spans="9:10" x14ac:dyDescent="0.5">
      <c r="J50" s="26"/>
    </row>
    <row r="51" spans="9:10" x14ac:dyDescent="0.5">
      <c r="J51" s="26"/>
    </row>
    <row r="52" spans="9:10" x14ac:dyDescent="0.5">
      <c r="J52" s="26"/>
    </row>
    <row r="53" spans="9:10" x14ac:dyDescent="0.5">
      <c r="J53" s="26"/>
    </row>
    <row r="54" spans="9:10" x14ac:dyDescent="0.5">
      <c r="J54" s="26"/>
    </row>
    <row r="55" spans="9:10" x14ac:dyDescent="0.5">
      <c r="J55" s="26"/>
    </row>
    <row r="56" spans="9:10" x14ac:dyDescent="0.5">
      <c r="J56" s="26"/>
    </row>
    <row r="57" spans="9:10" x14ac:dyDescent="0.5">
      <c r="I57" s="2"/>
      <c r="J57" s="27"/>
    </row>
  </sheetData>
  <mergeCells count="158">
    <mergeCell ref="A1:AC1"/>
    <mergeCell ref="A38:V38"/>
    <mergeCell ref="A39:AC39"/>
    <mergeCell ref="AC34:AC35"/>
    <mergeCell ref="A36:A37"/>
    <mergeCell ref="B36:F37"/>
    <mergeCell ref="G36:G37"/>
    <mergeCell ref="H36:H37"/>
    <mergeCell ref="W36:W37"/>
    <mergeCell ref="Y36:Y37"/>
    <mergeCell ref="Z36:Z37"/>
    <mergeCell ref="AA36:AA37"/>
    <mergeCell ref="AB36:AB37"/>
    <mergeCell ref="AC36:AC37"/>
    <mergeCell ref="A34:A35"/>
    <mergeCell ref="B34:F35"/>
    <mergeCell ref="G34:G35"/>
    <mergeCell ref="H34:H35"/>
    <mergeCell ref="W34:W35"/>
    <mergeCell ref="Y34:Y35"/>
    <mergeCell ref="Z34:Z35"/>
    <mergeCell ref="AA34:AA35"/>
    <mergeCell ref="AB34:AB35"/>
    <mergeCell ref="V7:W8"/>
    <mergeCell ref="X7:Y8"/>
    <mergeCell ref="Z7:Z8"/>
    <mergeCell ref="AA7:AA8"/>
    <mergeCell ref="AB7:AB8"/>
    <mergeCell ref="AC7:AC8"/>
    <mergeCell ref="A9:A10"/>
    <mergeCell ref="B9:F10"/>
    <mergeCell ref="G9:G10"/>
    <mergeCell ref="H9:H10"/>
    <mergeCell ref="W9:W10"/>
    <mergeCell ref="Y9:Y10"/>
    <mergeCell ref="Z9:Z10"/>
    <mergeCell ref="AA9:AA10"/>
    <mergeCell ref="AB9:AB10"/>
    <mergeCell ref="AC9:AC10"/>
    <mergeCell ref="A2:B2"/>
    <mergeCell ref="C2:K2"/>
    <mergeCell ref="L2:U2"/>
    <mergeCell ref="L3:U3"/>
    <mergeCell ref="A4:B4"/>
    <mergeCell ref="L4:U4"/>
    <mergeCell ref="A7:A8"/>
    <mergeCell ref="B7:F8"/>
    <mergeCell ref="G7:G8"/>
    <mergeCell ref="H7:H8"/>
    <mergeCell ref="I7:I8"/>
    <mergeCell ref="J7:U7"/>
    <mergeCell ref="A3:B3"/>
    <mergeCell ref="C3:K3"/>
    <mergeCell ref="C4:K4"/>
    <mergeCell ref="AC11:AC12"/>
    <mergeCell ref="A11:A12"/>
    <mergeCell ref="B11:F12"/>
    <mergeCell ref="G11:G12"/>
    <mergeCell ref="H11:H12"/>
    <mergeCell ref="W11:W12"/>
    <mergeCell ref="Y11:Y12"/>
    <mergeCell ref="Z11:Z12"/>
    <mergeCell ref="AA11:AA12"/>
    <mergeCell ref="AB11:AB12"/>
    <mergeCell ref="A13:V13"/>
    <mergeCell ref="A14:U14"/>
    <mergeCell ref="V16:W17"/>
    <mergeCell ref="X16:Y17"/>
    <mergeCell ref="Z16:Z17"/>
    <mergeCell ref="AA16:AA17"/>
    <mergeCell ref="AB16:AB17"/>
    <mergeCell ref="AC16:AC17"/>
    <mergeCell ref="A16:A17"/>
    <mergeCell ref="B16:F17"/>
    <mergeCell ref="G16:G17"/>
    <mergeCell ref="H16:H17"/>
    <mergeCell ref="I16:I17"/>
    <mergeCell ref="J16:U16"/>
    <mergeCell ref="Z18:Z19"/>
    <mergeCell ref="AA18:AA19"/>
    <mergeCell ref="AB18:AB19"/>
    <mergeCell ref="AC18:AC19"/>
    <mergeCell ref="A20:A21"/>
    <mergeCell ref="B20:F21"/>
    <mergeCell ref="G20:G21"/>
    <mergeCell ref="H20:H21"/>
    <mergeCell ref="W20:W21"/>
    <mergeCell ref="Y20:Y21"/>
    <mergeCell ref="A18:A19"/>
    <mergeCell ref="B18:F19"/>
    <mergeCell ref="G18:G19"/>
    <mergeCell ref="H18:H19"/>
    <mergeCell ref="W18:W19"/>
    <mergeCell ref="Y18:Y19"/>
    <mergeCell ref="Z20:Z21"/>
    <mergeCell ref="AA20:AA21"/>
    <mergeCell ref="AB20:AB21"/>
    <mergeCell ref="AA24:AA25"/>
    <mergeCell ref="AB24:AB25"/>
    <mergeCell ref="AC20:AC21"/>
    <mergeCell ref="A22:A23"/>
    <mergeCell ref="B22:F23"/>
    <mergeCell ref="G22:G23"/>
    <mergeCell ref="H22:H23"/>
    <mergeCell ref="W22:W23"/>
    <mergeCell ref="Y22:Y23"/>
    <mergeCell ref="Z22:Z23"/>
    <mergeCell ref="AA22:AA23"/>
    <mergeCell ref="AB22:AB23"/>
    <mergeCell ref="AC22:AC23"/>
    <mergeCell ref="H28:H29"/>
    <mergeCell ref="W28:W29"/>
    <mergeCell ref="Y28:Y29"/>
    <mergeCell ref="Z28:Z29"/>
    <mergeCell ref="AA28:AA29"/>
    <mergeCell ref="AB28:AB29"/>
    <mergeCell ref="AC24:AC25"/>
    <mergeCell ref="A26:A27"/>
    <mergeCell ref="B26:F27"/>
    <mergeCell ref="G26:G27"/>
    <mergeCell ref="H26:H27"/>
    <mergeCell ref="W26:W27"/>
    <mergeCell ref="Y26:Y27"/>
    <mergeCell ref="Z26:Z27"/>
    <mergeCell ref="AA26:AA27"/>
    <mergeCell ref="AB26:AB27"/>
    <mergeCell ref="AC26:AC27"/>
    <mergeCell ref="A24:A25"/>
    <mergeCell ref="B24:F25"/>
    <mergeCell ref="G24:G25"/>
    <mergeCell ref="H24:H25"/>
    <mergeCell ref="W24:W25"/>
    <mergeCell ref="Y24:Y25"/>
    <mergeCell ref="Z24:Z25"/>
    <mergeCell ref="AC28:AC29"/>
    <mergeCell ref="A30:A31"/>
    <mergeCell ref="B30:F31"/>
    <mergeCell ref="G30:G31"/>
    <mergeCell ref="H30:H31"/>
    <mergeCell ref="W30:W31"/>
    <mergeCell ref="Y30:Y31"/>
    <mergeCell ref="Z32:Z33"/>
    <mergeCell ref="AA32:AA33"/>
    <mergeCell ref="AB32:AB33"/>
    <mergeCell ref="AC32:AC33"/>
    <mergeCell ref="Z30:Z31"/>
    <mergeCell ref="AA30:AA31"/>
    <mergeCell ref="AB30:AB31"/>
    <mergeCell ref="AC30:AC31"/>
    <mergeCell ref="A32:A33"/>
    <mergeCell ref="B32:F33"/>
    <mergeCell ref="G32:G33"/>
    <mergeCell ref="H32:H33"/>
    <mergeCell ref="W32:W33"/>
    <mergeCell ref="Y32:Y33"/>
    <mergeCell ref="A28:A29"/>
    <mergeCell ref="B28:F29"/>
    <mergeCell ref="G28:G29"/>
  </mergeCells>
  <pageMargins left="0.7" right="0.7" top="0.75" bottom="0.75" header="0.3" footer="0.3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  <pageSetUpPr fitToPage="1"/>
  </sheetPr>
  <dimension ref="A1:BD53"/>
  <sheetViews>
    <sheetView showGridLines="0" zoomScale="70" zoomScaleNormal="70" zoomScalePageLayoutView="70" workbookViewId="0">
      <selection activeCell="AF4" sqref="AF4"/>
    </sheetView>
  </sheetViews>
  <sheetFormatPr defaultColWidth="10.375" defaultRowHeight="23.25" x14ac:dyDescent="0.5"/>
  <cols>
    <col min="1" max="1" width="8.875" style="36" customWidth="1"/>
    <col min="2" max="4" width="10.125" style="36" customWidth="1"/>
    <col min="5" max="5" width="3.25" style="36" customWidth="1"/>
    <col min="6" max="6" width="2.125" style="36" hidden="1" customWidth="1"/>
    <col min="7" max="7" width="10.875" style="23" bestFit="1" customWidth="1"/>
    <col min="8" max="8" width="7.125" style="36" bestFit="1" customWidth="1"/>
    <col min="9" max="9" width="5.75" style="36" customWidth="1"/>
    <col min="10" max="21" width="8.375" style="36" customWidth="1"/>
    <col min="22" max="22" width="10.875" style="36" bestFit="1" customWidth="1"/>
    <col min="23" max="23" width="8.375" style="36" customWidth="1"/>
    <col min="24" max="24" width="10.875" style="36" bestFit="1" customWidth="1"/>
    <col min="25" max="25" width="8.375" style="36" customWidth="1"/>
    <col min="26" max="26" width="19.375" style="36" bestFit="1" customWidth="1"/>
    <col min="27" max="27" width="12.125" style="36" customWidth="1"/>
    <col min="28" max="28" width="13.625" style="36" bestFit="1" customWidth="1"/>
    <col min="29" max="29" width="13.125" style="36" bestFit="1" customWidth="1"/>
    <col min="30" max="16384" width="10.375" style="36"/>
  </cols>
  <sheetData>
    <row r="1" spans="1:56" ht="57" customHeight="1" x14ac:dyDescent="0.5">
      <c r="A1" s="219" t="s">
        <v>66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</row>
    <row r="2" spans="1:56" x14ac:dyDescent="0.5">
      <c r="A2" s="201" t="s">
        <v>34</v>
      </c>
      <c r="B2" s="201"/>
      <c r="C2" s="221" t="s">
        <v>67</v>
      </c>
      <c r="D2" s="222"/>
      <c r="E2" s="222"/>
      <c r="F2" s="222"/>
      <c r="G2" s="222"/>
      <c r="H2" s="222"/>
      <c r="I2" s="222"/>
      <c r="J2" s="222"/>
      <c r="K2" s="223"/>
      <c r="L2" s="224"/>
      <c r="M2" s="225"/>
      <c r="N2" s="225"/>
      <c r="O2" s="225"/>
      <c r="P2" s="225"/>
      <c r="Q2" s="225"/>
      <c r="R2" s="225"/>
      <c r="S2" s="225"/>
      <c r="T2" s="225"/>
      <c r="U2" s="225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</row>
    <row r="3" spans="1:56" x14ac:dyDescent="0.5">
      <c r="A3" s="226" t="s">
        <v>35</v>
      </c>
      <c r="B3" s="226"/>
      <c r="C3" s="227" t="s">
        <v>68</v>
      </c>
      <c r="D3" s="222"/>
      <c r="E3" s="222"/>
      <c r="F3" s="222"/>
      <c r="G3" s="222"/>
      <c r="H3" s="222"/>
      <c r="I3" s="222"/>
      <c r="J3" s="222"/>
      <c r="K3" s="223"/>
      <c r="L3" s="205"/>
      <c r="M3" s="206"/>
      <c r="N3" s="206"/>
      <c r="O3" s="206"/>
      <c r="P3" s="206"/>
      <c r="Q3" s="206"/>
      <c r="R3" s="206"/>
      <c r="S3" s="206"/>
      <c r="T3" s="206"/>
      <c r="U3" s="20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21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</row>
    <row r="4" spans="1:56" x14ac:dyDescent="0.5">
      <c r="A4" s="201" t="s">
        <v>39</v>
      </c>
      <c r="B4" s="201"/>
      <c r="C4" s="202" t="s">
        <v>69</v>
      </c>
      <c r="D4" s="203"/>
      <c r="E4" s="203"/>
      <c r="F4" s="203"/>
      <c r="G4" s="203"/>
      <c r="H4" s="203"/>
      <c r="I4" s="203"/>
      <c r="J4" s="203"/>
      <c r="K4" s="204"/>
      <c r="L4" s="205"/>
      <c r="M4" s="206"/>
      <c r="N4" s="206"/>
      <c r="O4" s="206"/>
      <c r="P4" s="206"/>
      <c r="Q4" s="206"/>
      <c r="R4" s="206"/>
      <c r="S4" s="206"/>
      <c r="T4" s="206"/>
      <c r="U4" s="206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6" x14ac:dyDescent="0.5">
      <c r="A5" s="37"/>
      <c r="B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</row>
    <row r="6" spans="1:56" s="39" customFormat="1" x14ac:dyDescent="0.5">
      <c r="A6" s="38" t="s">
        <v>36</v>
      </c>
      <c r="B6" s="38"/>
      <c r="G6" s="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s="67" customFormat="1" ht="23.1" customHeight="1" x14ac:dyDescent="0.2">
      <c r="A7" s="207" t="s">
        <v>17</v>
      </c>
      <c r="B7" s="208" t="s">
        <v>36</v>
      </c>
      <c r="C7" s="209"/>
      <c r="D7" s="209"/>
      <c r="E7" s="209"/>
      <c r="F7" s="210"/>
      <c r="G7" s="214" t="s">
        <v>18</v>
      </c>
      <c r="H7" s="207" t="s">
        <v>1</v>
      </c>
      <c r="I7" s="207"/>
      <c r="J7" s="216" t="s">
        <v>16</v>
      </c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8"/>
      <c r="V7" s="197" t="s">
        <v>24</v>
      </c>
      <c r="W7" s="198"/>
      <c r="X7" s="197" t="s">
        <v>25</v>
      </c>
      <c r="Y7" s="198"/>
      <c r="Z7" s="168" t="s">
        <v>70</v>
      </c>
      <c r="AA7" s="168" t="s">
        <v>71</v>
      </c>
      <c r="AB7" s="168" t="s">
        <v>47</v>
      </c>
      <c r="AC7" s="168" t="s">
        <v>48</v>
      </c>
    </row>
    <row r="8" spans="1:56" s="67" customFormat="1" x14ac:dyDescent="0.2">
      <c r="A8" s="170"/>
      <c r="B8" s="211"/>
      <c r="C8" s="212"/>
      <c r="D8" s="212"/>
      <c r="E8" s="212"/>
      <c r="F8" s="213"/>
      <c r="G8" s="215"/>
      <c r="H8" s="170"/>
      <c r="I8" s="170"/>
      <c r="J8" s="68" t="s">
        <v>4</v>
      </c>
      <c r="K8" s="68" t="s">
        <v>5</v>
      </c>
      <c r="L8" s="68" t="s">
        <v>6</v>
      </c>
      <c r="M8" s="68" t="s">
        <v>7</v>
      </c>
      <c r="N8" s="68" t="s">
        <v>8</v>
      </c>
      <c r="O8" s="68" t="s">
        <v>9</v>
      </c>
      <c r="P8" s="68" t="s">
        <v>10</v>
      </c>
      <c r="Q8" s="68" t="s">
        <v>11</v>
      </c>
      <c r="R8" s="68" t="s">
        <v>12</v>
      </c>
      <c r="S8" s="68" t="s">
        <v>13</v>
      </c>
      <c r="T8" s="68" t="s">
        <v>14</v>
      </c>
      <c r="U8" s="68" t="s">
        <v>15</v>
      </c>
      <c r="V8" s="199"/>
      <c r="W8" s="200"/>
      <c r="X8" s="199"/>
      <c r="Y8" s="200"/>
      <c r="Z8" s="169"/>
      <c r="AA8" s="170"/>
      <c r="AB8" s="169"/>
      <c r="AC8" s="170"/>
    </row>
    <row r="9" spans="1:56" s="37" customFormat="1" x14ac:dyDescent="0.2">
      <c r="A9" s="182">
        <v>1</v>
      </c>
      <c r="B9" s="154" t="s">
        <v>72</v>
      </c>
      <c r="C9" s="155"/>
      <c r="D9" s="155"/>
      <c r="E9" s="155"/>
      <c r="F9" s="156"/>
      <c r="G9" s="193">
        <v>400</v>
      </c>
      <c r="H9" s="182" t="s">
        <v>73</v>
      </c>
      <c r="I9" s="70" t="s">
        <v>2</v>
      </c>
      <c r="J9" s="71"/>
      <c r="K9" s="71"/>
      <c r="L9" s="71"/>
      <c r="M9" s="71"/>
      <c r="N9" s="71"/>
      <c r="O9" s="71"/>
      <c r="P9" s="71"/>
      <c r="Q9" s="71">
        <v>50</v>
      </c>
      <c r="R9" s="71">
        <v>150</v>
      </c>
      <c r="S9" s="71">
        <v>200</v>
      </c>
      <c r="T9" s="71"/>
      <c r="U9" s="71"/>
      <c r="V9" s="43">
        <f>SUM(J9:U9)</f>
        <v>400</v>
      </c>
      <c r="W9" s="195">
        <f>IF(V10=0,0,V10/V9)</f>
        <v>0.79262500000000002</v>
      </c>
      <c r="X9" s="43">
        <f t="shared" ref="X9:X10" si="0">SUM(J9:U9)</f>
        <v>400</v>
      </c>
      <c r="Y9" s="195">
        <f>IF(X10=0,0,X10/X9)</f>
        <v>0.79262500000000002</v>
      </c>
      <c r="Z9" s="182"/>
      <c r="AA9" s="182"/>
      <c r="AB9" s="184" t="s">
        <v>64</v>
      </c>
      <c r="AC9" s="184"/>
    </row>
    <row r="10" spans="1:56" s="37" customFormat="1" x14ac:dyDescent="0.2">
      <c r="A10" s="183"/>
      <c r="B10" s="157"/>
      <c r="C10" s="158"/>
      <c r="D10" s="158"/>
      <c r="E10" s="158"/>
      <c r="F10" s="159"/>
      <c r="G10" s="194"/>
      <c r="H10" s="183"/>
      <c r="I10" s="75" t="s">
        <v>3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7">
        <v>5</v>
      </c>
      <c r="P10" s="77"/>
      <c r="Q10" s="78">
        <v>20</v>
      </c>
      <c r="R10" s="79">
        <v>112.05</v>
      </c>
      <c r="S10" s="78">
        <v>180</v>
      </c>
      <c r="T10" s="80"/>
      <c r="U10" s="80"/>
      <c r="V10" s="43">
        <f>SUM(J10:U10)</f>
        <v>317.05</v>
      </c>
      <c r="W10" s="196"/>
      <c r="X10" s="43">
        <f t="shared" si="0"/>
        <v>317.05</v>
      </c>
      <c r="Y10" s="196"/>
      <c r="Z10" s="183"/>
      <c r="AA10" s="183"/>
      <c r="AB10" s="185"/>
      <c r="AC10" s="185"/>
    </row>
    <row r="11" spans="1:56" s="64" customFormat="1" ht="21.75" customHeight="1" x14ac:dyDescent="0.2">
      <c r="A11" s="186">
        <v>2</v>
      </c>
      <c r="B11" s="188" t="s">
        <v>74</v>
      </c>
      <c r="C11" s="188"/>
      <c r="D11" s="188"/>
      <c r="E11" s="188"/>
      <c r="F11" s="188"/>
      <c r="G11" s="189">
        <v>0</v>
      </c>
      <c r="H11" s="186" t="s">
        <v>73</v>
      </c>
      <c r="I11" s="72" t="s">
        <v>2</v>
      </c>
      <c r="J11" s="32"/>
      <c r="K11" s="32"/>
      <c r="L11" s="32"/>
      <c r="M11" s="73"/>
      <c r="N11" s="32"/>
      <c r="O11" s="32"/>
      <c r="P11" s="73"/>
      <c r="Q11" s="32"/>
      <c r="R11" s="74"/>
      <c r="S11" s="73"/>
      <c r="T11" s="32"/>
      <c r="U11" s="73"/>
      <c r="V11" s="43">
        <f t="shared" ref="V11:V12" si="1">SUM(J11:U11)</f>
        <v>0</v>
      </c>
      <c r="W11" s="191">
        <f>IF(V12=0,0,V12/V11)</f>
        <v>0</v>
      </c>
      <c r="X11" s="63">
        <f>SUM(J11:U11)</f>
        <v>0</v>
      </c>
      <c r="Y11" s="191">
        <f>IF(X12=0,0,X12/X11)</f>
        <v>0</v>
      </c>
      <c r="Z11" s="173"/>
      <c r="AA11" s="175"/>
      <c r="AB11" s="177"/>
      <c r="AC11" s="177"/>
    </row>
    <row r="12" spans="1:56" s="64" customFormat="1" ht="22.35" customHeight="1" x14ac:dyDescent="0.2">
      <c r="A12" s="187"/>
      <c r="B12" s="188"/>
      <c r="C12" s="188"/>
      <c r="D12" s="188"/>
      <c r="E12" s="188"/>
      <c r="F12" s="188"/>
      <c r="G12" s="190"/>
      <c r="H12" s="187"/>
      <c r="I12" s="81" t="s">
        <v>3</v>
      </c>
      <c r="J12" s="62"/>
      <c r="K12" s="62"/>
      <c r="L12" s="62"/>
      <c r="M12" s="62"/>
      <c r="N12" s="62"/>
      <c r="O12" s="82"/>
      <c r="P12" s="62"/>
      <c r="Q12" s="62"/>
      <c r="R12" s="83"/>
      <c r="S12" s="83"/>
      <c r="T12" s="83"/>
      <c r="U12" s="83"/>
      <c r="V12" s="43">
        <f t="shared" si="1"/>
        <v>0</v>
      </c>
      <c r="W12" s="192"/>
      <c r="X12" s="63">
        <f t="shared" ref="X12" si="2">SUM(J12:U12)</f>
        <v>0</v>
      </c>
      <c r="Y12" s="192"/>
      <c r="Z12" s="174"/>
      <c r="AA12" s="176"/>
      <c r="AB12" s="178"/>
      <c r="AC12" s="178"/>
    </row>
    <row r="13" spans="1:56" s="50" customFormat="1" x14ac:dyDescent="0.2">
      <c r="A13" s="179" t="s">
        <v>20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1"/>
      <c r="W13" s="29">
        <f>AVERAGE(W11:W12)</f>
        <v>0</v>
      </c>
      <c r="X13" s="10">
        <f>SUM(L13:V13)</f>
        <v>0</v>
      </c>
      <c r="Y13" s="29">
        <f>AVERAGE(Y11:Y12)</f>
        <v>0</v>
      </c>
      <c r="Z13" s="49"/>
      <c r="AA13" s="49"/>
      <c r="AB13" s="12"/>
      <c r="AC13" s="12"/>
    </row>
    <row r="14" spans="1:56" s="51" customFormat="1" ht="75" hidden="1" customHeight="1" x14ac:dyDescent="0.2">
      <c r="A14" s="98" t="s">
        <v>37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13"/>
      <c r="W14" s="14"/>
      <c r="X14" s="13"/>
      <c r="Y14" s="14"/>
      <c r="AB14" s="14"/>
    </row>
    <row r="15" spans="1:56" s="50" customFormat="1" x14ac:dyDescent="0.2">
      <c r="A15" s="38" t="s">
        <v>19</v>
      </c>
      <c r="B15" s="38"/>
      <c r="C15" s="38"/>
      <c r="D15" s="38"/>
      <c r="E15" s="38"/>
      <c r="F15" s="38"/>
      <c r="G15" s="16"/>
      <c r="H15" s="38"/>
      <c r="I15" s="38"/>
      <c r="J15" s="38"/>
      <c r="K15" s="38"/>
      <c r="N15" s="38"/>
      <c r="P15" s="38"/>
      <c r="Q15" s="52"/>
      <c r="R15" s="38"/>
      <c r="V15" s="38"/>
      <c r="W15" s="38"/>
      <c r="X15" s="38"/>
      <c r="Y15" s="38"/>
      <c r="Z15" s="38"/>
      <c r="AA15" s="38"/>
      <c r="AB15" s="38"/>
      <c r="AC15" s="38"/>
    </row>
    <row r="16" spans="1:56" s="67" customFormat="1" ht="24" customHeight="1" x14ac:dyDescent="0.2">
      <c r="A16" s="171" t="s">
        <v>0</v>
      </c>
      <c r="B16" s="171" t="s">
        <v>31</v>
      </c>
      <c r="C16" s="171"/>
      <c r="D16" s="171"/>
      <c r="E16" s="171"/>
      <c r="F16" s="171"/>
      <c r="G16" s="172" t="s">
        <v>18</v>
      </c>
      <c r="H16" s="171" t="s">
        <v>1</v>
      </c>
      <c r="I16" s="171"/>
      <c r="J16" s="171" t="s">
        <v>21</v>
      </c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66" t="s">
        <v>22</v>
      </c>
      <c r="W16" s="167"/>
      <c r="X16" s="166" t="s">
        <v>23</v>
      </c>
      <c r="Y16" s="167"/>
      <c r="Z16" s="168" t="s">
        <v>70</v>
      </c>
      <c r="AA16" s="168" t="s">
        <v>46</v>
      </c>
      <c r="AB16" s="168" t="s">
        <v>47</v>
      </c>
      <c r="AC16" s="168" t="s">
        <v>48</v>
      </c>
    </row>
    <row r="17" spans="1:30" s="67" customFormat="1" x14ac:dyDescent="0.2">
      <c r="A17" s="171"/>
      <c r="B17" s="171"/>
      <c r="C17" s="171"/>
      <c r="D17" s="171"/>
      <c r="E17" s="171"/>
      <c r="F17" s="171"/>
      <c r="G17" s="172"/>
      <c r="H17" s="171"/>
      <c r="I17" s="171"/>
      <c r="J17" s="68" t="s">
        <v>4</v>
      </c>
      <c r="K17" s="68" t="s">
        <v>5</v>
      </c>
      <c r="L17" s="68" t="s">
        <v>6</v>
      </c>
      <c r="M17" s="68" t="s">
        <v>7</v>
      </c>
      <c r="N17" s="68" t="s">
        <v>8</v>
      </c>
      <c r="O17" s="68" t="s">
        <v>9</v>
      </c>
      <c r="P17" s="68" t="s">
        <v>10</v>
      </c>
      <c r="Q17" s="68" t="s">
        <v>11</v>
      </c>
      <c r="R17" s="68" t="s">
        <v>12</v>
      </c>
      <c r="S17" s="68" t="s">
        <v>13</v>
      </c>
      <c r="T17" s="68" t="s">
        <v>14</v>
      </c>
      <c r="U17" s="68" t="s">
        <v>15</v>
      </c>
      <c r="V17" s="167"/>
      <c r="W17" s="167"/>
      <c r="X17" s="167"/>
      <c r="Y17" s="167"/>
      <c r="Z17" s="169"/>
      <c r="AA17" s="170"/>
      <c r="AB17" s="169"/>
      <c r="AC17" s="170"/>
      <c r="AD17" s="69"/>
    </row>
    <row r="18" spans="1:30" s="58" customFormat="1" ht="24" customHeight="1" x14ac:dyDescent="0.2">
      <c r="A18" s="151">
        <v>1</v>
      </c>
      <c r="B18" s="162" t="s">
        <v>75</v>
      </c>
      <c r="C18" s="162"/>
      <c r="D18" s="162"/>
      <c r="E18" s="162"/>
      <c r="F18" s="162"/>
      <c r="G18" s="164">
        <v>1</v>
      </c>
      <c r="H18" s="151" t="s">
        <v>54</v>
      </c>
      <c r="I18" s="31" t="s">
        <v>2</v>
      </c>
      <c r="J18" s="85">
        <v>8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65">
        <f>SUM(J18:U18)</f>
        <v>8</v>
      </c>
      <c r="W18" s="91">
        <f>IF(V19=0,0,V19/V18)</f>
        <v>1</v>
      </c>
      <c r="X18" s="5">
        <f>SUM(J18:U18)</f>
        <v>8</v>
      </c>
      <c r="Y18" s="91">
        <f>IF(X19=0,0,X19/X18)</f>
        <v>1</v>
      </c>
      <c r="Z18" s="92"/>
      <c r="AA18" s="151"/>
      <c r="AB18" s="87"/>
      <c r="AC18" s="87"/>
    </row>
    <row r="19" spans="1:30" s="58" customFormat="1" x14ac:dyDescent="0.2">
      <c r="A19" s="151"/>
      <c r="B19" s="162"/>
      <c r="C19" s="162"/>
      <c r="D19" s="162"/>
      <c r="E19" s="162"/>
      <c r="F19" s="162"/>
      <c r="G19" s="164"/>
      <c r="H19" s="151"/>
      <c r="I19" s="28" t="s">
        <v>3</v>
      </c>
      <c r="J19" s="84">
        <v>8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65">
        <f t="shared" ref="V19:V33" si="3">SUM(J19:U19)</f>
        <v>8</v>
      </c>
      <c r="W19" s="91"/>
      <c r="X19" s="5">
        <f t="shared" ref="X19:X33" si="4">SUM(J19:U19)</f>
        <v>8</v>
      </c>
      <c r="Y19" s="91"/>
      <c r="Z19" s="92"/>
      <c r="AA19" s="151"/>
      <c r="AB19" s="87"/>
      <c r="AC19" s="87"/>
    </row>
    <row r="20" spans="1:30" s="58" customFormat="1" ht="21.75" customHeight="1" x14ac:dyDescent="0.2">
      <c r="A20" s="151">
        <v>2</v>
      </c>
      <c r="B20" s="162" t="s">
        <v>76</v>
      </c>
      <c r="C20" s="162"/>
      <c r="D20" s="162"/>
      <c r="E20" s="162"/>
      <c r="F20" s="162"/>
      <c r="G20" s="164">
        <v>8</v>
      </c>
      <c r="H20" s="151" t="s">
        <v>2</v>
      </c>
      <c r="I20" s="31" t="s">
        <v>2</v>
      </c>
      <c r="J20" s="85">
        <v>1</v>
      </c>
      <c r="K20" s="85"/>
      <c r="L20" s="85"/>
      <c r="M20" s="85">
        <v>1</v>
      </c>
      <c r="N20" s="85"/>
      <c r="O20" s="85"/>
      <c r="P20" s="85"/>
      <c r="Q20" s="85"/>
      <c r="R20" s="85"/>
      <c r="S20" s="85"/>
      <c r="T20" s="85"/>
      <c r="U20" s="85"/>
      <c r="V20" s="65">
        <f t="shared" si="3"/>
        <v>2</v>
      </c>
      <c r="W20" s="91">
        <f>IF(V21=0,0,V21/V20)</f>
        <v>1</v>
      </c>
      <c r="X20" s="5">
        <f>SUM(J20:U20)</f>
        <v>2</v>
      </c>
      <c r="Y20" s="91">
        <f t="shared" ref="Y20" si="5">IF(X21=0,0,X21/X20)</f>
        <v>1</v>
      </c>
      <c r="Z20" s="92"/>
      <c r="AA20" s="151"/>
      <c r="AB20" s="87"/>
      <c r="AC20" s="87"/>
    </row>
    <row r="21" spans="1:30" s="58" customFormat="1" x14ac:dyDescent="0.2">
      <c r="A21" s="151"/>
      <c r="B21" s="162"/>
      <c r="C21" s="162"/>
      <c r="D21" s="162"/>
      <c r="E21" s="162"/>
      <c r="F21" s="162"/>
      <c r="G21" s="164"/>
      <c r="H21" s="151"/>
      <c r="I21" s="28" t="s">
        <v>3</v>
      </c>
      <c r="J21" s="84">
        <v>1</v>
      </c>
      <c r="K21" s="84"/>
      <c r="L21" s="84"/>
      <c r="M21" s="84">
        <v>1</v>
      </c>
      <c r="N21" s="84"/>
      <c r="O21" s="84"/>
      <c r="P21" s="84"/>
      <c r="Q21" s="84"/>
      <c r="R21" s="84"/>
      <c r="S21" s="84"/>
      <c r="T21" s="84"/>
      <c r="U21" s="84"/>
      <c r="V21" s="65">
        <f t="shared" si="3"/>
        <v>2</v>
      </c>
      <c r="W21" s="91"/>
      <c r="X21" s="5">
        <f t="shared" si="4"/>
        <v>2</v>
      </c>
      <c r="Y21" s="91"/>
      <c r="Z21" s="92"/>
      <c r="AA21" s="151"/>
      <c r="AB21" s="87"/>
      <c r="AC21" s="87"/>
    </row>
    <row r="22" spans="1:30" s="58" customFormat="1" ht="21.75" customHeight="1" x14ac:dyDescent="0.2">
      <c r="A22" s="151">
        <v>3</v>
      </c>
      <c r="B22" s="162" t="s">
        <v>77</v>
      </c>
      <c r="C22" s="162"/>
      <c r="D22" s="162"/>
      <c r="E22" s="162"/>
      <c r="F22" s="162"/>
      <c r="G22" s="164">
        <v>1</v>
      </c>
      <c r="H22" s="151" t="s">
        <v>54</v>
      </c>
      <c r="I22" s="31" t="s">
        <v>2</v>
      </c>
      <c r="J22" s="85">
        <v>1</v>
      </c>
      <c r="K22" s="85">
        <v>1</v>
      </c>
      <c r="L22" s="85">
        <v>1</v>
      </c>
      <c r="M22" s="85">
        <v>1</v>
      </c>
      <c r="N22" s="85">
        <v>1</v>
      </c>
      <c r="O22" s="85">
        <v>1</v>
      </c>
      <c r="P22" s="85">
        <v>1</v>
      </c>
      <c r="Q22" s="85">
        <v>1</v>
      </c>
      <c r="R22" s="85">
        <v>1</v>
      </c>
      <c r="S22" s="85">
        <v>1</v>
      </c>
      <c r="T22" s="85">
        <v>1</v>
      </c>
      <c r="U22" s="85">
        <v>1</v>
      </c>
      <c r="V22" s="65">
        <f t="shared" si="3"/>
        <v>12</v>
      </c>
      <c r="W22" s="91">
        <f>IF(V23=0,0,V23/V22)</f>
        <v>1</v>
      </c>
      <c r="X22" s="5">
        <f t="shared" si="4"/>
        <v>12</v>
      </c>
      <c r="Y22" s="91">
        <f t="shared" ref="Y22" si="6">IF(X23=0,0,X23/X22)</f>
        <v>1</v>
      </c>
      <c r="Z22" s="92"/>
      <c r="AA22" s="151"/>
      <c r="AB22" s="87"/>
      <c r="AC22" s="87"/>
    </row>
    <row r="23" spans="1:30" s="58" customFormat="1" x14ac:dyDescent="0.2">
      <c r="A23" s="151"/>
      <c r="B23" s="162"/>
      <c r="C23" s="162"/>
      <c r="D23" s="162"/>
      <c r="E23" s="162"/>
      <c r="F23" s="162"/>
      <c r="G23" s="164"/>
      <c r="H23" s="151"/>
      <c r="I23" s="28" t="s">
        <v>3</v>
      </c>
      <c r="J23" s="84">
        <v>1</v>
      </c>
      <c r="K23" s="84">
        <v>1</v>
      </c>
      <c r="L23" s="84">
        <v>1</v>
      </c>
      <c r="M23" s="84">
        <v>1</v>
      </c>
      <c r="N23" s="84">
        <v>1</v>
      </c>
      <c r="O23" s="84">
        <v>1</v>
      </c>
      <c r="P23" s="84">
        <v>1</v>
      </c>
      <c r="Q23" s="84">
        <v>1</v>
      </c>
      <c r="R23" s="84">
        <v>1</v>
      </c>
      <c r="S23" s="84">
        <v>1</v>
      </c>
      <c r="T23" s="84">
        <v>1</v>
      </c>
      <c r="U23" s="84">
        <v>1</v>
      </c>
      <c r="V23" s="65">
        <f t="shared" si="3"/>
        <v>12</v>
      </c>
      <c r="W23" s="91"/>
      <c r="X23" s="5">
        <f t="shared" si="4"/>
        <v>12</v>
      </c>
      <c r="Y23" s="91"/>
      <c r="Z23" s="92"/>
      <c r="AA23" s="151"/>
      <c r="AB23" s="87"/>
      <c r="AC23" s="87"/>
    </row>
    <row r="24" spans="1:30" s="58" customFormat="1" ht="21.75" customHeight="1" x14ac:dyDescent="0.2">
      <c r="A24" s="151">
        <v>4</v>
      </c>
      <c r="B24" s="162" t="s">
        <v>78</v>
      </c>
      <c r="C24" s="162"/>
      <c r="D24" s="162"/>
      <c r="E24" s="162"/>
      <c r="F24" s="162"/>
      <c r="G24" s="164">
        <v>400</v>
      </c>
      <c r="H24" s="151" t="s">
        <v>73</v>
      </c>
      <c r="I24" s="31" t="s">
        <v>2</v>
      </c>
      <c r="J24" s="85">
        <v>50</v>
      </c>
      <c r="K24" s="85">
        <v>50</v>
      </c>
      <c r="L24" s="85">
        <v>100</v>
      </c>
      <c r="M24" s="85">
        <v>200</v>
      </c>
      <c r="N24" s="85"/>
      <c r="O24" s="85"/>
      <c r="P24" s="85"/>
      <c r="Q24" s="85"/>
      <c r="R24" s="85"/>
      <c r="S24" s="85"/>
      <c r="T24" s="85"/>
      <c r="U24" s="85"/>
      <c r="V24" s="65">
        <f t="shared" si="3"/>
        <v>400</v>
      </c>
      <c r="W24" s="91">
        <f>IF(V25=0,0,V25/V24)</f>
        <v>1.0010000000000001</v>
      </c>
      <c r="X24" s="5">
        <f t="shared" si="4"/>
        <v>400</v>
      </c>
      <c r="Y24" s="91">
        <f t="shared" ref="Y24" si="7">IF(X25=0,0,X25/X24)</f>
        <v>1.0010000000000001</v>
      </c>
      <c r="Z24" s="165" t="s">
        <v>79</v>
      </c>
      <c r="AA24" s="151" t="s">
        <v>80</v>
      </c>
      <c r="AB24" s="87"/>
      <c r="AC24" s="87"/>
    </row>
    <row r="25" spans="1:30" s="58" customFormat="1" x14ac:dyDescent="0.2">
      <c r="A25" s="151"/>
      <c r="B25" s="162"/>
      <c r="C25" s="162"/>
      <c r="D25" s="162"/>
      <c r="E25" s="162"/>
      <c r="F25" s="162"/>
      <c r="G25" s="164"/>
      <c r="H25" s="151"/>
      <c r="I25" s="28" t="s">
        <v>3</v>
      </c>
      <c r="J25" s="8">
        <v>45.6</v>
      </c>
      <c r="K25" s="8">
        <v>82.45</v>
      </c>
      <c r="L25" s="8">
        <v>68.2</v>
      </c>
      <c r="M25" s="8">
        <v>105.55</v>
      </c>
      <c r="N25" s="8">
        <v>20.5</v>
      </c>
      <c r="O25" s="8">
        <v>22.05</v>
      </c>
      <c r="P25" s="84"/>
      <c r="Q25" s="84">
        <v>56.05</v>
      </c>
      <c r="R25" s="84"/>
      <c r="S25" s="84"/>
      <c r="T25" s="84"/>
      <c r="U25" s="84"/>
      <c r="V25" s="65">
        <f t="shared" si="3"/>
        <v>400.40000000000003</v>
      </c>
      <c r="W25" s="91"/>
      <c r="X25" s="5">
        <f t="shared" si="4"/>
        <v>400.40000000000003</v>
      </c>
      <c r="Y25" s="91"/>
      <c r="Z25" s="165"/>
      <c r="AA25" s="151"/>
      <c r="AB25" s="87"/>
      <c r="AC25" s="87"/>
    </row>
    <row r="26" spans="1:30" s="58" customFormat="1" ht="21.75" customHeight="1" x14ac:dyDescent="0.2">
      <c r="A26" s="151">
        <v>5</v>
      </c>
      <c r="B26" s="162" t="s">
        <v>81</v>
      </c>
      <c r="C26" s="162"/>
      <c r="D26" s="162"/>
      <c r="E26" s="162"/>
      <c r="F26" s="162"/>
      <c r="G26" s="164">
        <v>400</v>
      </c>
      <c r="H26" s="151" t="s">
        <v>73</v>
      </c>
      <c r="I26" s="31" t="s">
        <v>2</v>
      </c>
      <c r="J26" s="85"/>
      <c r="K26" s="85"/>
      <c r="L26" s="85"/>
      <c r="M26" s="85"/>
      <c r="N26" s="85"/>
      <c r="O26" s="85">
        <v>50</v>
      </c>
      <c r="P26" s="85">
        <v>50</v>
      </c>
      <c r="Q26" s="85">
        <v>100</v>
      </c>
      <c r="R26" s="85">
        <v>200</v>
      </c>
      <c r="S26" s="85"/>
      <c r="T26" s="85"/>
      <c r="U26" s="85"/>
      <c r="V26" s="65">
        <f t="shared" si="3"/>
        <v>400</v>
      </c>
      <c r="W26" s="91">
        <f>IF(V27=0,0,V27/V26)</f>
        <v>0.92974999999999997</v>
      </c>
      <c r="X26" s="5">
        <f t="shared" si="4"/>
        <v>400</v>
      </c>
      <c r="Y26" s="91">
        <f t="shared" ref="Y26" si="8">IF(X27=0,0,X27/X26)</f>
        <v>0.92974999999999997</v>
      </c>
      <c r="Z26" s="92"/>
      <c r="AA26" s="151"/>
      <c r="AB26" s="87"/>
      <c r="AC26" s="87"/>
    </row>
    <row r="27" spans="1:30" s="58" customFormat="1" x14ac:dyDescent="0.2">
      <c r="A27" s="151"/>
      <c r="B27" s="162"/>
      <c r="C27" s="162"/>
      <c r="D27" s="162"/>
      <c r="E27" s="162"/>
      <c r="F27" s="162"/>
      <c r="G27" s="164"/>
      <c r="H27" s="151"/>
      <c r="I27" s="28" t="s">
        <v>3</v>
      </c>
      <c r="J27" s="84"/>
      <c r="K27" s="84"/>
      <c r="L27" s="84"/>
      <c r="M27" s="84"/>
      <c r="N27" s="84"/>
      <c r="O27" s="8">
        <v>62.9</v>
      </c>
      <c r="P27" s="84">
        <v>40</v>
      </c>
      <c r="Q27" s="84">
        <v>89</v>
      </c>
      <c r="R27" s="84">
        <v>180</v>
      </c>
      <c r="S27" s="84"/>
      <c r="T27" s="84"/>
      <c r="U27" s="84"/>
      <c r="V27" s="65">
        <f t="shared" si="3"/>
        <v>371.9</v>
      </c>
      <c r="W27" s="91"/>
      <c r="X27" s="5">
        <f t="shared" si="4"/>
        <v>371.9</v>
      </c>
      <c r="Y27" s="91"/>
      <c r="Z27" s="92"/>
      <c r="AA27" s="151"/>
      <c r="AB27" s="87"/>
      <c r="AC27" s="87"/>
    </row>
    <row r="28" spans="1:30" s="58" customFormat="1" ht="21.75" customHeight="1" x14ac:dyDescent="0.2">
      <c r="A28" s="151">
        <v>6</v>
      </c>
      <c r="B28" s="162" t="s">
        <v>82</v>
      </c>
      <c r="C28" s="162"/>
      <c r="D28" s="162"/>
      <c r="E28" s="162"/>
      <c r="F28" s="162"/>
      <c r="G28" s="164">
        <v>400</v>
      </c>
      <c r="H28" s="151" t="s">
        <v>73</v>
      </c>
      <c r="I28" s="31" t="s">
        <v>2</v>
      </c>
      <c r="J28" s="85"/>
      <c r="K28" s="85"/>
      <c r="L28" s="85"/>
      <c r="M28" s="85"/>
      <c r="N28" s="85"/>
      <c r="O28" s="85"/>
      <c r="P28" s="85"/>
      <c r="Q28" s="85">
        <v>50</v>
      </c>
      <c r="R28" s="85">
        <v>150</v>
      </c>
      <c r="S28" s="85">
        <v>200</v>
      </c>
      <c r="T28" s="85"/>
      <c r="U28" s="85"/>
      <c r="V28" s="65">
        <f t="shared" si="3"/>
        <v>400</v>
      </c>
      <c r="W28" s="91">
        <f>IF(V29=0,0,V29/V28)</f>
        <v>0.79262500000000002</v>
      </c>
      <c r="X28" s="5">
        <f t="shared" si="4"/>
        <v>400</v>
      </c>
      <c r="Y28" s="91">
        <f t="shared" ref="Y28" si="9">IF(X29=0,0,X29/X28)</f>
        <v>0.79262500000000002</v>
      </c>
      <c r="Z28" s="92"/>
      <c r="AA28" s="151"/>
      <c r="AB28" s="87" t="s">
        <v>64</v>
      </c>
      <c r="AC28" s="87"/>
    </row>
    <row r="29" spans="1:30" s="58" customFormat="1" x14ac:dyDescent="0.2">
      <c r="A29" s="151"/>
      <c r="B29" s="162"/>
      <c r="C29" s="162"/>
      <c r="D29" s="162"/>
      <c r="E29" s="162"/>
      <c r="F29" s="162"/>
      <c r="G29" s="164"/>
      <c r="H29" s="151"/>
      <c r="I29" s="28" t="s">
        <v>3</v>
      </c>
      <c r="J29" s="84"/>
      <c r="K29" s="84"/>
      <c r="L29" s="84"/>
      <c r="M29" s="84"/>
      <c r="N29" s="84"/>
      <c r="O29" s="8">
        <v>5</v>
      </c>
      <c r="P29" s="8"/>
      <c r="Q29" s="8">
        <v>20</v>
      </c>
      <c r="R29" s="8">
        <v>112.05</v>
      </c>
      <c r="S29" s="84">
        <v>180</v>
      </c>
      <c r="T29" s="84"/>
      <c r="U29" s="84"/>
      <c r="V29" s="65">
        <f t="shared" si="3"/>
        <v>317.05</v>
      </c>
      <c r="W29" s="91"/>
      <c r="X29" s="5">
        <f t="shared" si="4"/>
        <v>317.05</v>
      </c>
      <c r="Y29" s="91"/>
      <c r="Z29" s="92"/>
      <c r="AA29" s="151"/>
      <c r="AB29" s="87"/>
      <c r="AC29" s="87"/>
    </row>
    <row r="30" spans="1:30" s="58" customFormat="1" x14ac:dyDescent="0.2">
      <c r="A30" s="151">
        <v>7</v>
      </c>
      <c r="B30" s="162" t="s">
        <v>83</v>
      </c>
      <c r="C30" s="162"/>
      <c r="D30" s="162"/>
      <c r="E30" s="162"/>
      <c r="F30" s="162"/>
      <c r="G30" s="163">
        <v>1</v>
      </c>
      <c r="H30" s="151" t="s">
        <v>84</v>
      </c>
      <c r="I30" s="31" t="s">
        <v>2</v>
      </c>
      <c r="J30" s="85"/>
      <c r="K30" s="85"/>
      <c r="L30" s="85"/>
      <c r="M30" s="85"/>
      <c r="N30" s="85"/>
      <c r="O30" s="85"/>
      <c r="P30" s="85"/>
      <c r="Q30" s="85"/>
      <c r="R30" s="85"/>
      <c r="S30" s="85">
        <v>1</v>
      </c>
      <c r="T30" s="85"/>
      <c r="U30" s="85"/>
      <c r="V30" s="65">
        <f t="shared" si="3"/>
        <v>1</v>
      </c>
      <c r="W30" s="91">
        <f>IF(V31=0,0,V31/V30)</f>
        <v>1</v>
      </c>
      <c r="X30" s="5">
        <f t="shared" si="4"/>
        <v>1</v>
      </c>
      <c r="Y30" s="91">
        <f t="shared" ref="Y30" si="10">IF(X31=0,0,X31/X30)</f>
        <v>1</v>
      </c>
      <c r="Z30" s="92"/>
      <c r="AA30" s="151"/>
      <c r="AB30" s="87"/>
      <c r="AC30" s="87"/>
    </row>
    <row r="31" spans="1:30" s="58" customFormat="1" x14ac:dyDescent="0.2">
      <c r="A31" s="151"/>
      <c r="B31" s="162"/>
      <c r="C31" s="162"/>
      <c r="D31" s="162"/>
      <c r="E31" s="162"/>
      <c r="F31" s="162"/>
      <c r="G31" s="163"/>
      <c r="H31" s="151"/>
      <c r="I31" s="28" t="s">
        <v>3</v>
      </c>
      <c r="J31" s="84"/>
      <c r="K31" s="84"/>
      <c r="L31" s="84"/>
      <c r="M31" s="84"/>
      <c r="N31" s="84"/>
      <c r="O31" s="84"/>
      <c r="P31" s="84"/>
      <c r="Q31" s="84"/>
      <c r="R31" s="84"/>
      <c r="S31" s="84">
        <v>1</v>
      </c>
      <c r="T31" s="84"/>
      <c r="U31" s="84"/>
      <c r="V31" s="65">
        <f t="shared" si="3"/>
        <v>1</v>
      </c>
      <c r="W31" s="91"/>
      <c r="X31" s="5">
        <f t="shared" si="4"/>
        <v>1</v>
      </c>
      <c r="Y31" s="91"/>
      <c r="Z31" s="92"/>
      <c r="AA31" s="151"/>
      <c r="AB31" s="87"/>
      <c r="AC31" s="87"/>
    </row>
    <row r="32" spans="1:30" s="58" customFormat="1" ht="21.75" customHeight="1" x14ac:dyDescent="0.2">
      <c r="A32" s="151">
        <v>8</v>
      </c>
      <c r="B32" s="154" t="s">
        <v>85</v>
      </c>
      <c r="C32" s="155"/>
      <c r="D32" s="155"/>
      <c r="E32" s="155"/>
      <c r="F32" s="156"/>
      <c r="G32" s="160">
        <v>3</v>
      </c>
      <c r="H32" s="161" t="s">
        <v>54</v>
      </c>
      <c r="I32" s="70" t="s">
        <v>2</v>
      </c>
      <c r="J32" s="86"/>
      <c r="K32" s="86"/>
      <c r="L32" s="86"/>
      <c r="M32" s="86"/>
      <c r="N32" s="86"/>
      <c r="O32" s="86"/>
      <c r="P32" s="86">
        <v>1</v>
      </c>
      <c r="Q32" s="86"/>
      <c r="R32" s="86"/>
      <c r="S32" s="86">
        <v>1</v>
      </c>
      <c r="T32" s="86"/>
      <c r="U32" s="86">
        <v>1</v>
      </c>
      <c r="V32" s="65">
        <f t="shared" si="3"/>
        <v>3</v>
      </c>
      <c r="W32" s="91">
        <f>IF(V33=0,0,V33/V32)</f>
        <v>1</v>
      </c>
      <c r="X32" s="5">
        <f t="shared" si="4"/>
        <v>3</v>
      </c>
      <c r="Y32" s="91">
        <f t="shared" ref="Y32" si="11">IF(X33=0,0,X33/X32)</f>
        <v>1</v>
      </c>
      <c r="Z32" s="92"/>
      <c r="AA32" s="151"/>
      <c r="AB32" s="87"/>
      <c r="AC32" s="87"/>
    </row>
    <row r="33" spans="1:29" s="58" customFormat="1" x14ac:dyDescent="0.2">
      <c r="A33" s="151"/>
      <c r="B33" s="157"/>
      <c r="C33" s="158"/>
      <c r="D33" s="158"/>
      <c r="E33" s="158"/>
      <c r="F33" s="159"/>
      <c r="G33" s="160"/>
      <c r="H33" s="161"/>
      <c r="I33" s="75" t="s">
        <v>3</v>
      </c>
      <c r="J33" s="46"/>
      <c r="K33" s="46"/>
      <c r="L33" s="46"/>
      <c r="M33" s="46"/>
      <c r="N33" s="46"/>
      <c r="O33" s="46"/>
      <c r="P33" s="46">
        <v>1</v>
      </c>
      <c r="Q33" s="46"/>
      <c r="R33" s="46"/>
      <c r="S33" s="46">
        <v>1</v>
      </c>
      <c r="T33" s="46"/>
      <c r="U33" s="46">
        <v>1</v>
      </c>
      <c r="V33" s="65">
        <f t="shared" si="3"/>
        <v>3</v>
      </c>
      <c r="W33" s="91"/>
      <c r="X33" s="5">
        <f t="shared" si="4"/>
        <v>3</v>
      </c>
      <c r="Y33" s="91"/>
      <c r="Z33" s="92"/>
      <c r="AA33" s="151"/>
      <c r="AB33" s="87"/>
      <c r="AC33" s="87"/>
    </row>
    <row r="34" spans="1:29" s="50" customFormat="1" x14ac:dyDescent="0.2">
      <c r="A34" s="152" t="s">
        <v>20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29">
        <f>AVERAGE(W18:W33)</f>
        <v>0.9654218750000001</v>
      </c>
      <c r="X34" s="60">
        <f>SUM(L34:V34)</f>
        <v>0</v>
      </c>
      <c r="Y34" s="29">
        <f>AVERAGE(Y18:Y33)</f>
        <v>0.9654218750000001</v>
      </c>
      <c r="Z34" s="49"/>
      <c r="AA34" s="49"/>
      <c r="AB34" s="12"/>
      <c r="AC34" s="12"/>
    </row>
    <row r="35" spans="1:29" s="51" customFormat="1" ht="126" hidden="1" customHeight="1" x14ac:dyDescent="0.2">
      <c r="A35" s="153" t="s">
        <v>38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 spans="1:29" ht="89.25" hidden="1" customHeight="1" x14ac:dyDescent="0.5"/>
    <row r="38" spans="1:29" x14ac:dyDescent="0.5">
      <c r="B38" s="66"/>
    </row>
    <row r="41" spans="1:29" x14ac:dyDescent="0.5">
      <c r="J41" s="26"/>
    </row>
    <row r="42" spans="1:29" x14ac:dyDescent="0.5">
      <c r="J42" s="26"/>
    </row>
    <row r="43" spans="1:29" x14ac:dyDescent="0.5">
      <c r="J43" s="26"/>
    </row>
    <row r="44" spans="1:29" x14ac:dyDescent="0.5">
      <c r="J44" s="26"/>
    </row>
    <row r="45" spans="1:29" x14ac:dyDescent="0.5">
      <c r="J45" s="26"/>
    </row>
    <row r="46" spans="1:29" x14ac:dyDescent="0.5">
      <c r="J46" s="26"/>
    </row>
    <row r="47" spans="1:29" x14ac:dyDescent="0.5">
      <c r="J47" s="26"/>
    </row>
    <row r="48" spans="1:29" x14ac:dyDescent="0.5">
      <c r="J48" s="26"/>
    </row>
    <row r="49" spans="9:10" x14ac:dyDescent="0.5">
      <c r="J49" s="26"/>
    </row>
    <row r="50" spans="9:10" x14ac:dyDescent="0.5">
      <c r="J50" s="26"/>
    </row>
    <row r="51" spans="9:10" x14ac:dyDescent="0.5">
      <c r="J51" s="26"/>
    </row>
    <row r="52" spans="9:10" x14ac:dyDescent="0.5">
      <c r="J52" s="26"/>
    </row>
    <row r="53" spans="9:10" x14ac:dyDescent="0.5">
      <c r="I53" s="39"/>
      <c r="J53" s="61"/>
    </row>
  </sheetData>
  <mergeCells count="138">
    <mergeCell ref="A1:AC1"/>
    <mergeCell ref="A2:B2"/>
    <mergeCell ref="C2:K2"/>
    <mergeCell ref="L2:U2"/>
    <mergeCell ref="A3:B3"/>
    <mergeCell ref="C3:K3"/>
    <mergeCell ref="L3:U3"/>
    <mergeCell ref="V7:W8"/>
    <mergeCell ref="X7:Y8"/>
    <mergeCell ref="Z7:Z8"/>
    <mergeCell ref="AA7:AA8"/>
    <mergeCell ref="AB7:AB8"/>
    <mergeCell ref="AC7:AC8"/>
    <mergeCell ref="A4:B4"/>
    <mergeCell ref="C4:K4"/>
    <mergeCell ref="L4:U4"/>
    <mergeCell ref="A7:A8"/>
    <mergeCell ref="B7:F8"/>
    <mergeCell ref="G7:G8"/>
    <mergeCell ref="H7:H8"/>
    <mergeCell ref="I7:I8"/>
    <mergeCell ref="J7:U7"/>
    <mergeCell ref="Z11:Z12"/>
    <mergeCell ref="AA11:AA12"/>
    <mergeCell ref="AB11:AB12"/>
    <mergeCell ref="AC11:AC12"/>
    <mergeCell ref="A13:V13"/>
    <mergeCell ref="A14:U14"/>
    <mergeCell ref="Z9:Z10"/>
    <mergeCell ref="AA9:AA10"/>
    <mergeCell ref="AB9:AB10"/>
    <mergeCell ref="AC9:AC10"/>
    <mergeCell ref="A11:A12"/>
    <mergeCell ref="B11:F12"/>
    <mergeCell ref="G11:G12"/>
    <mergeCell ref="H11:H12"/>
    <mergeCell ref="W11:W12"/>
    <mergeCell ref="Y11:Y12"/>
    <mergeCell ref="A9:A10"/>
    <mergeCell ref="B9:F10"/>
    <mergeCell ref="G9:G10"/>
    <mergeCell ref="H9:H10"/>
    <mergeCell ref="W9:W10"/>
    <mergeCell ref="Y9:Y10"/>
    <mergeCell ref="V16:W17"/>
    <mergeCell ref="X16:Y17"/>
    <mergeCell ref="Z16:Z17"/>
    <mergeCell ref="AA16:AA17"/>
    <mergeCell ref="AB16:AB17"/>
    <mergeCell ref="AC16:AC17"/>
    <mergeCell ref="A16:A17"/>
    <mergeCell ref="B16:F17"/>
    <mergeCell ref="G16:G17"/>
    <mergeCell ref="H16:H17"/>
    <mergeCell ref="I16:I17"/>
    <mergeCell ref="J16:U16"/>
    <mergeCell ref="Z18:Z19"/>
    <mergeCell ref="AA18:AA19"/>
    <mergeCell ref="AB18:AB19"/>
    <mergeCell ref="AC18:AC19"/>
    <mergeCell ref="A20:A21"/>
    <mergeCell ref="B20:F21"/>
    <mergeCell ref="G20:G21"/>
    <mergeCell ref="H20:H21"/>
    <mergeCell ref="W20:W21"/>
    <mergeCell ref="Y20:Y21"/>
    <mergeCell ref="A18:A19"/>
    <mergeCell ref="B18:F19"/>
    <mergeCell ref="G18:G19"/>
    <mergeCell ref="H18:H19"/>
    <mergeCell ref="W18:W19"/>
    <mergeCell ref="Y18:Y19"/>
    <mergeCell ref="Z20:Z21"/>
    <mergeCell ref="AA20:AA21"/>
    <mergeCell ref="AB20:AB21"/>
    <mergeCell ref="AC20:AC21"/>
    <mergeCell ref="A22:A23"/>
    <mergeCell ref="B22:F23"/>
    <mergeCell ref="G22:G23"/>
    <mergeCell ref="H22:H23"/>
    <mergeCell ref="W22:W23"/>
    <mergeCell ref="Y22:Y23"/>
    <mergeCell ref="Z22:Z23"/>
    <mergeCell ref="AA22:AA23"/>
    <mergeCell ref="AB22:AB23"/>
    <mergeCell ref="AC22:AC23"/>
    <mergeCell ref="A24:A25"/>
    <mergeCell ref="B24:F25"/>
    <mergeCell ref="G24:G25"/>
    <mergeCell ref="H24:H25"/>
    <mergeCell ref="W24:W25"/>
    <mergeCell ref="Y24:Y25"/>
    <mergeCell ref="Z24:Z25"/>
    <mergeCell ref="AA24:AA25"/>
    <mergeCell ref="AB24:AB25"/>
    <mergeCell ref="AC24:AC25"/>
    <mergeCell ref="A26:A27"/>
    <mergeCell ref="B26:F27"/>
    <mergeCell ref="G26:G27"/>
    <mergeCell ref="H26:H27"/>
    <mergeCell ref="W26:W27"/>
    <mergeCell ref="Y26:Y27"/>
    <mergeCell ref="Z26:Z27"/>
    <mergeCell ref="AA26:AA27"/>
    <mergeCell ref="AB26:AB27"/>
    <mergeCell ref="AC26:AC27"/>
    <mergeCell ref="A28:A29"/>
    <mergeCell ref="B28:F29"/>
    <mergeCell ref="G28:G29"/>
    <mergeCell ref="H28:H29"/>
    <mergeCell ref="W28:W29"/>
    <mergeCell ref="Y28:Y29"/>
    <mergeCell ref="A35:AC35"/>
    <mergeCell ref="A32:A33"/>
    <mergeCell ref="B32:F33"/>
    <mergeCell ref="G32:G33"/>
    <mergeCell ref="H32:H33"/>
    <mergeCell ref="W32:W33"/>
    <mergeCell ref="Y32:Y33"/>
    <mergeCell ref="Z28:Z29"/>
    <mergeCell ref="AA28:AA29"/>
    <mergeCell ref="AB28:AB29"/>
    <mergeCell ref="AC28:AC29"/>
    <mergeCell ref="A30:A31"/>
    <mergeCell ref="B30:F31"/>
    <mergeCell ref="G30:G31"/>
    <mergeCell ref="H30:H31"/>
    <mergeCell ref="W30:W31"/>
    <mergeCell ref="Y30:Y31"/>
    <mergeCell ref="Z30:Z31"/>
    <mergeCell ref="AA30:AA31"/>
    <mergeCell ref="AB30:AB31"/>
    <mergeCell ref="AC30:AC31"/>
    <mergeCell ref="Z32:Z33"/>
    <mergeCell ref="AA32:AA33"/>
    <mergeCell ref="AB32:AB33"/>
    <mergeCell ref="AC32:AC33"/>
    <mergeCell ref="A34:V34"/>
  </mergeCells>
  <pageMargins left="0.23622047244094491" right="0.23622047244094491" top="0.55118110236220474" bottom="0.35433070866141736" header="0.31496062992125984" footer="0.31496062992125984"/>
  <pageSetup paperSize="9" scale="5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BD51"/>
  <sheetViews>
    <sheetView zoomScale="70" zoomScaleNormal="70" zoomScaleSheetLayoutView="50" workbookViewId="0">
      <selection activeCell="B26" sqref="B26:F27"/>
    </sheetView>
  </sheetViews>
  <sheetFormatPr defaultColWidth="10.375" defaultRowHeight="23.25" x14ac:dyDescent="0.5"/>
  <cols>
    <col min="1" max="1" width="8.625" style="36" customWidth="1"/>
    <col min="2" max="5" width="10.375" style="36"/>
    <col min="6" max="6" width="3" style="36" customWidth="1"/>
    <col min="7" max="7" width="12.875" style="23" bestFit="1" customWidth="1"/>
    <col min="8" max="8" width="9.375" style="36" customWidth="1"/>
    <col min="9" max="9" width="5.75" style="36" customWidth="1"/>
    <col min="10" max="10" width="8.5" style="36" bestFit="1" customWidth="1"/>
    <col min="11" max="11" width="4.125" style="36" bestFit="1" customWidth="1"/>
    <col min="12" max="15" width="3.875" style="36" bestFit="1" customWidth="1"/>
    <col min="16" max="16" width="4.5" style="36" bestFit="1" customWidth="1"/>
    <col min="17" max="17" width="4" style="36" bestFit="1" customWidth="1"/>
    <col min="18" max="18" width="3.75" style="36" bestFit="1" customWidth="1"/>
    <col min="19" max="19" width="4" style="36" bestFit="1" customWidth="1"/>
    <col min="20" max="20" width="3.75" style="36" bestFit="1" customWidth="1"/>
    <col min="21" max="21" width="3.875" style="36" bestFit="1" customWidth="1"/>
    <col min="22" max="22" width="8.875" style="36" customWidth="1"/>
    <col min="23" max="23" width="7.375" style="36" customWidth="1"/>
    <col min="24" max="24" width="10" style="36" customWidth="1"/>
    <col min="25" max="25" width="8" style="36" bestFit="1" customWidth="1"/>
    <col min="26" max="26" width="29.875" style="36" customWidth="1"/>
    <col min="27" max="27" width="11.875" style="36" customWidth="1"/>
    <col min="28" max="28" width="13.625" style="36" bestFit="1" customWidth="1"/>
    <col min="29" max="29" width="13.875" style="36" bestFit="1" customWidth="1"/>
    <col min="30" max="16384" width="10.375" style="36"/>
  </cols>
  <sheetData>
    <row r="1" spans="1:56" ht="30" customHeight="1" x14ac:dyDescent="0.5">
      <c r="A1" s="220" t="s">
        <v>41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</row>
    <row r="2" spans="1:56" x14ac:dyDescent="0.5">
      <c r="A2" s="201" t="s">
        <v>34</v>
      </c>
      <c r="B2" s="201"/>
      <c r="C2" s="227" t="s">
        <v>42</v>
      </c>
      <c r="D2" s="222"/>
      <c r="E2" s="222"/>
      <c r="F2" s="222"/>
      <c r="G2" s="222"/>
      <c r="H2" s="222"/>
      <c r="I2" s="222"/>
      <c r="J2" s="222"/>
      <c r="K2" s="223"/>
      <c r="L2" s="224"/>
      <c r="M2" s="225"/>
      <c r="N2" s="225"/>
      <c r="O2" s="225"/>
      <c r="P2" s="225"/>
      <c r="Q2" s="225"/>
      <c r="R2" s="225"/>
      <c r="S2" s="225"/>
      <c r="T2" s="225"/>
      <c r="U2" s="225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</row>
    <row r="3" spans="1:56" x14ac:dyDescent="0.5">
      <c r="A3" s="226" t="s">
        <v>35</v>
      </c>
      <c r="B3" s="226"/>
      <c r="C3" s="227" t="s">
        <v>43</v>
      </c>
      <c r="D3" s="222"/>
      <c r="E3" s="222"/>
      <c r="F3" s="222"/>
      <c r="G3" s="222"/>
      <c r="H3" s="222"/>
      <c r="I3" s="222"/>
      <c r="J3" s="222"/>
      <c r="K3" s="223"/>
      <c r="L3" s="205"/>
      <c r="M3" s="206"/>
      <c r="N3" s="206"/>
      <c r="O3" s="206"/>
      <c r="P3" s="206"/>
      <c r="Q3" s="206"/>
      <c r="R3" s="206"/>
      <c r="S3" s="206"/>
      <c r="T3" s="206"/>
      <c r="U3" s="20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</row>
    <row r="4" spans="1:56" x14ac:dyDescent="0.5">
      <c r="A4" s="201" t="s">
        <v>39</v>
      </c>
      <c r="B4" s="201"/>
      <c r="C4" s="246" t="s">
        <v>44</v>
      </c>
      <c r="D4" s="247"/>
      <c r="E4" s="247"/>
      <c r="F4" s="247"/>
      <c r="G4" s="247"/>
      <c r="H4" s="247"/>
      <c r="I4" s="247"/>
      <c r="J4" s="247"/>
      <c r="K4" s="248"/>
      <c r="L4" s="205"/>
      <c r="M4" s="206"/>
      <c r="N4" s="206"/>
      <c r="O4" s="206"/>
      <c r="P4" s="206"/>
      <c r="Q4" s="206"/>
      <c r="R4" s="206"/>
      <c r="S4" s="206"/>
      <c r="T4" s="206"/>
      <c r="U4" s="206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6" x14ac:dyDescent="0.5">
      <c r="A5" s="37"/>
      <c r="B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</row>
    <row r="6" spans="1:56" s="39" customFormat="1" x14ac:dyDescent="0.5">
      <c r="A6" s="38" t="s">
        <v>36</v>
      </c>
      <c r="B6" s="38"/>
      <c r="G6" s="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</row>
    <row r="7" spans="1:56" s="37" customFormat="1" ht="24" customHeight="1" x14ac:dyDescent="0.2">
      <c r="A7" s="182" t="s">
        <v>17</v>
      </c>
      <c r="B7" s="249" t="s">
        <v>36</v>
      </c>
      <c r="C7" s="250"/>
      <c r="D7" s="250"/>
      <c r="E7" s="250"/>
      <c r="F7" s="251"/>
      <c r="G7" s="255" t="s">
        <v>18</v>
      </c>
      <c r="H7" s="182" t="s">
        <v>1</v>
      </c>
      <c r="I7" s="182"/>
      <c r="J7" s="257" t="s">
        <v>16</v>
      </c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9"/>
      <c r="V7" s="242" t="s">
        <v>24</v>
      </c>
      <c r="W7" s="243"/>
      <c r="X7" s="242" t="s">
        <v>25</v>
      </c>
      <c r="Y7" s="243"/>
      <c r="Z7" s="237" t="s">
        <v>45</v>
      </c>
      <c r="AA7" s="237" t="s">
        <v>46</v>
      </c>
      <c r="AB7" s="237" t="s">
        <v>47</v>
      </c>
      <c r="AC7" s="237" t="s">
        <v>48</v>
      </c>
    </row>
    <row r="8" spans="1:56" s="37" customFormat="1" x14ac:dyDescent="0.2">
      <c r="A8" s="183"/>
      <c r="B8" s="252"/>
      <c r="C8" s="253"/>
      <c r="D8" s="253"/>
      <c r="E8" s="253"/>
      <c r="F8" s="254"/>
      <c r="G8" s="256"/>
      <c r="H8" s="183"/>
      <c r="I8" s="183"/>
      <c r="J8" s="40" t="s">
        <v>4</v>
      </c>
      <c r="K8" s="40" t="s">
        <v>5</v>
      </c>
      <c r="L8" s="40" t="s">
        <v>6</v>
      </c>
      <c r="M8" s="40" t="s">
        <v>7</v>
      </c>
      <c r="N8" s="40" t="s">
        <v>8</v>
      </c>
      <c r="O8" s="40" t="s">
        <v>9</v>
      </c>
      <c r="P8" s="40" t="s">
        <v>10</v>
      </c>
      <c r="Q8" s="40" t="s">
        <v>11</v>
      </c>
      <c r="R8" s="40" t="s">
        <v>12</v>
      </c>
      <c r="S8" s="40" t="s">
        <v>13</v>
      </c>
      <c r="T8" s="40" t="s">
        <v>14</v>
      </c>
      <c r="U8" s="40" t="s">
        <v>15</v>
      </c>
      <c r="V8" s="244"/>
      <c r="W8" s="245"/>
      <c r="X8" s="244"/>
      <c r="Y8" s="245"/>
      <c r="Z8" s="238"/>
      <c r="AA8" s="183"/>
      <c r="AB8" s="238"/>
      <c r="AC8" s="183"/>
    </row>
    <row r="9" spans="1:56" s="37" customFormat="1" x14ac:dyDescent="0.2">
      <c r="A9" s="182">
        <v>1</v>
      </c>
      <c r="B9" s="154" t="s">
        <v>49</v>
      </c>
      <c r="C9" s="155"/>
      <c r="D9" s="155"/>
      <c r="E9" s="155"/>
      <c r="F9" s="156"/>
      <c r="G9" s="240">
        <f>SUM(J9:U9)</f>
        <v>100</v>
      </c>
      <c r="H9" s="182" t="s">
        <v>50</v>
      </c>
      <c r="I9" s="41" t="s">
        <v>2</v>
      </c>
      <c r="J9" s="42">
        <v>100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3">
        <f>SUM(J9:O9)</f>
        <v>100</v>
      </c>
      <c r="W9" s="195">
        <f>IF(V10=0,0,V10/V9)</f>
        <v>1</v>
      </c>
      <c r="X9" s="43">
        <f t="shared" ref="X9:X12" si="0">SUM(J9:U9)</f>
        <v>100</v>
      </c>
      <c r="Y9" s="195">
        <f>IF(X10=0,0,X10/X9)</f>
        <v>1</v>
      </c>
      <c r="Z9" s="182"/>
      <c r="AA9" s="182"/>
      <c r="AB9" s="184"/>
      <c r="AC9" s="184"/>
    </row>
    <row r="10" spans="1:56" s="37" customFormat="1" x14ac:dyDescent="0.2">
      <c r="A10" s="183"/>
      <c r="B10" s="157"/>
      <c r="C10" s="158"/>
      <c r="D10" s="158"/>
      <c r="E10" s="158"/>
      <c r="F10" s="159"/>
      <c r="G10" s="241"/>
      <c r="H10" s="183"/>
      <c r="I10" s="41" t="s">
        <v>3</v>
      </c>
      <c r="J10" s="44">
        <v>100</v>
      </c>
      <c r="K10" s="44"/>
      <c r="L10" s="44"/>
      <c r="M10" s="44"/>
      <c r="N10" s="44"/>
      <c r="O10" s="44"/>
      <c r="P10" s="44"/>
      <c r="Q10" s="45"/>
      <c r="R10" s="45"/>
      <c r="S10" s="45"/>
      <c r="T10" s="45"/>
      <c r="U10" s="45"/>
      <c r="V10" s="43">
        <f t="shared" ref="V10:V12" si="1">SUM(J10:O10)</f>
        <v>100</v>
      </c>
      <c r="W10" s="196"/>
      <c r="X10" s="43">
        <f t="shared" si="0"/>
        <v>100</v>
      </c>
      <c r="Y10" s="196"/>
      <c r="Z10" s="183"/>
      <c r="AA10" s="183"/>
      <c r="AB10" s="185"/>
      <c r="AC10" s="185"/>
    </row>
    <row r="11" spans="1:56" s="37" customFormat="1" ht="21.75" customHeight="1" x14ac:dyDescent="0.2">
      <c r="A11" s="182">
        <v>2</v>
      </c>
      <c r="B11" s="154" t="s">
        <v>51</v>
      </c>
      <c r="C11" s="155"/>
      <c r="D11" s="155"/>
      <c r="E11" s="155"/>
      <c r="F11" s="156"/>
      <c r="G11" s="240">
        <f>SUM(J11:U11)</f>
        <v>100</v>
      </c>
      <c r="H11" s="182" t="s">
        <v>50</v>
      </c>
      <c r="I11" s="41" t="s">
        <v>2</v>
      </c>
      <c r="J11" s="46">
        <v>100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3">
        <f t="shared" si="1"/>
        <v>100</v>
      </c>
      <c r="W11" s="195">
        <f>IF(V12=0,0,V12/V11)</f>
        <v>1</v>
      </c>
      <c r="X11" s="47">
        <f t="shared" si="0"/>
        <v>100</v>
      </c>
      <c r="Y11" s="195">
        <f>IF(X12=0,0,X12/X11)</f>
        <v>1</v>
      </c>
      <c r="Z11" s="182"/>
      <c r="AA11" s="182"/>
      <c r="AB11" s="184"/>
      <c r="AC11" s="184"/>
    </row>
    <row r="12" spans="1:56" s="37" customFormat="1" x14ac:dyDescent="0.2">
      <c r="A12" s="183"/>
      <c r="B12" s="157"/>
      <c r="C12" s="158"/>
      <c r="D12" s="158"/>
      <c r="E12" s="158"/>
      <c r="F12" s="159"/>
      <c r="G12" s="241"/>
      <c r="H12" s="183"/>
      <c r="I12" s="41" t="s">
        <v>3</v>
      </c>
      <c r="J12" s="45">
        <v>100</v>
      </c>
      <c r="K12" s="45"/>
      <c r="L12" s="45"/>
      <c r="M12" s="45"/>
      <c r="N12" s="48"/>
      <c r="O12" s="45"/>
      <c r="P12" s="45"/>
      <c r="Q12" s="45"/>
      <c r="R12" s="45"/>
      <c r="S12" s="45"/>
      <c r="T12" s="45"/>
      <c r="U12" s="45"/>
      <c r="V12" s="43">
        <f t="shared" si="1"/>
        <v>100</v>
      </c>
      <c r="W12" s="196"/>
      <c r="X12" s="43">
        <f t="shared" si="0"/>
        <v>100</v>
      </c>
      <c r="Y12" s="196"/>
      <c r="Z12" s="183"/>
      <c r="AA12" s="183"/>
      <c r="AB12" s="185"/>
      <c r="AC12" s="185"/>
    </row>
    <row r="13" spans="1:56" s="50" customFormat="1" x14ac:dyDescent="0.2">
      <c r="A13" s="179" t="s">
        <v>20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1"/>
      <c r="W13" s="29">
        <f>AVERAGE(W9:W12)</f>
        <v>1</v>
      </c>
      <c r="X13" s="10">
        <f>SUM(L13:V13)</f>
        <v>0</v>
      </c>
      <c r="Y13" s="29">
        <f>AVERAGE(Y9:Y12)</f>
        <v>1</v>
      </c>
      <c r="Z13" s="49"/>
      <c r="AA13" s="49"/>
      <c r="AB13" s="12"/>
      <c r="AC13" s="12"/>
    </row>
    <row r="14" spans="1:56" s="51" customFormat="1" ht="75" hidden="1" customHeight="1" x14ac:dyDescent="0.2">
      <c r="A14" s="98" t="s">
        <v>37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13"/>
      <c r="W14" s="14"/>
      <c r="X14" s="13"/>
      <c r="Y14" s="14"/>
      <c r="AB14" s="14"/>
    </row>
    <row r="15" spans="1:56" s="50" customFormat="1" x14ac:dyDescent="0.2">
      <c r="A15" s="38" t="s">
        <v>19</v>
      </c>
      <c r="B15" s="38"/>
      <c r="C15" s="38"/>
      <c r="D15" s="38"/>
      <c r="E15" s="38"/>
      <c r="F15" s="38"/>
      <c r="G15" s="16"/>
      <c r="H15" s="38"/>
      <c r="I15" s="38"/>
      <c r="J15" s="38"/>
      <c r="K15" s="38"/>
      <c r="N15" s="38"/>
      <c r="P15" s="38"/>
      <c r="Q15" s="52"/>
      <c r="R15" s="38"/>
      <c r="V15" s="38"/>
      <c r="W15" s="38"/>
      <c r="X15" s="38"/>
      <c r="Y15" s="38"/>
      <c r="Z15" s="38"/>
      <c r="AA15" s="38"/>
      <c r="AB15" s="38"/>
      <c r="AC15" s="38"/>
    </row>
    <row r="16" spans="1:56" s="37" customFormat="1" ht="24" customHeight="1" x14ac:dyDescent="0.2">
      <c r="A16" s="161" t="s">
        <v>0</v>
      </c>
      <c r="B16" s="161" t="s">
        <v>31</v>
      </c>
      <c r="C16" s="161"/>
      <c r="D16" s="161"/>
      <c r="E16" s="161"/>
      <c r="F16" s="161"/>
      <c r="G16" s="239" t="s">
        <v>18</v>
      </c>
      <c r="H16" s="161" t="s">
        <v>1</v>
      </c>
      <c r="I16" s="161"/>
      <c r="J16" s="161" t="s">
        <v>21</v>
      </c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235" t="s">
        <v>22</v>
      </c>
      <c r="W16" s="236"/>
      <c r="X16" s="235" t="s">
        <v>23</v>
      </c>
      <c r="Y16" s="236"/>
      <c r="Z16" s="237" t="s">
        <v>52</v>
      </c>
      <c r="AA16" s="237" t="s">
        <v>46</v>
      </c>
      <c r="AB16" s="237" t="s">
        <v>47</v>
      </c>
      <c r="AC16" s="237" t="s">
        <v>48</v>
      </c>
    </row>
    <row r="17" spans="1:30" s="37" customFormat="1" x14ac:dyDescent="0.2">
      <c r="A17" s="161"/>
      <c r="B17" s="161"/>
      <c r="C17" s="161"/>
      <c r="D17" s="161"/>
      <c r="E17" s="161"/>
      <c r="F17" s="161"/>
      <c r="G17" s="239"/>
      <c r="H17" s="161"/>
      <c r="I17" s="161"/>
      <c r="J17" s="40" t="s">
        <v>4</v>
      </c>
      <c r="K17" s="40" t="s">
        <v>5</v>
      </c>
      <c r="L17" s="40" t="s">
        <v>6</v>
      </c>
      <c r="M17" s="40" t="s">
        <v>7</v>
      </c>
      <c r="N17" s="40" t="s">
        <v>8</v>
      </c>
      <c r="O17" s="40" t="s">
        <v>9</v>
      </c>
      <c r="P17" s="40" t="s">
        <v>10</v>
      </c>
      <c r="Q17" s="40" t="s">
        <v>11</v>
      </c>
      <c r="R17" s="40" t="s">
        <v>12</v>
      </c>
      <c r="S17" s="40" t="s">
        <v>13</v>
      </c>
      <c r="T17" s="40" t="s">
        <v>14</v>
      </c>
      <c r="U17" s="40" t="s">
        <v>15</v>
      </c>
      <c r="V17" s="236"/>
      <c r="W17" s="236"/>
      <c r="X17" s="236"/>
      <c r="Y17" s="236"/>
      <c r="Z17" s="238"/>
      <c r="AA17" s="183"/>
      <c r="AB17" s="238"/>
      <c r="AC17" s="183"/>
      <c r="AD17" s="53"/>
    </row>
    <row r="18" spans="1:30" s="58" customFormat="1" ht="24" customHeight="1" x14ac:dyDescent="0.2">
      <c r="A18" s="151">
        <v>1</v>
      </c>
      <c r="B18" s="162" t="s">
        <v>53</v>
      </c>
      <c r="C18" s="162"/>
      <c r="D18" s="162"/>
      <c r="E18" s="162"/>
      <c r="F18" s="162"/>
      <c r="G18" s="164">
        <v>1</v>
      </c>
      <c r="H18" s="151" t="s">
        <v>54</v>
      </c>
      <c r="I18" s="54" t="s">
        <v>2</v>
      </c>
      <c r="J18" s="55">
        <v>1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6">
        <f>SUM(J18:U18)</f>
        <v>1</v>
      </c>
      <c r="W18" s="91">
        <f t="shared" ref="W18" si="2">IF(V19=0,0,V19/V18)</f>
        <v>1</v>
      </c>
      <c r="X18" s="57">
        <f>SUM(J18:U18)</f>
        <v>1</v>
      </c>
      <c r="Y18" s="91">
        <f>IF(X19=0,0,X19/X18)</f>
        <v>1</v>
      </c>
      <c r="Z18" s="92"/>
      <c r="AA18" s="151"/>
      <c r="AB18" s="87"/>
      <c r="AC18" s="87"/>
    </row>
    <row r="19" spans="1:30" s="58" customFormat="1" x14ac:dyDescent="0.2">
      <c r="A19" s="151"/>
      <c r="B19" s="162"/>
      <c r="C19" s="162"/>
      <c r="D19" s="162"/>
      <c r="E19" s="162"/>
      <c r="F19" s="162"/>
      <c r="G19" s="164"/>
      <c r="H19" s="151"/>
      <c r="I19" s="54" t="s">
        <v>3</v>
      </c>
      <c r="J19" s="59">
        <v>1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6">
        <f t="shared" ref="V19:V31" si="3">SUM(J19:U19)</f>
        <v>1</v>
      </c>
      <c r="W19" s="91"/>
      <c r="X19" s="57">
        <f t="shared" ref="X19:X31" si="4">SUM(J19:U19)</f>
        <v>1</v>
      </c>
      <c r="Y19" s="91"/>
      <c r="Z19" s="92"/>
      <c r="AA19" s="151"/>
      <c r="AB19" s="87"/>
      <c r="AC19" s="87"/>
    </row>
    <row r="20" spans="1:30" s="58" customFormat="1" ht="21.75" customHeight="1" x14ac:dyDescent="0.2">
      <c r="A20" s="151">
        <v>2</v>
      </c>
      <c r="B20" s="228" t="s">
        <v>55</v>
      </c>
      <c r="C20" s="229"/>
      <c r="D20" s="229"/>
      <c r="E20" s="229"/>
      <c r="F20" s="230"/>
      <c r="G20" s="164">
        <v>1</v>
      </c>
      <c r="H20" s="151" t="s">
        <v>54</v>
      </c>
      <c r="I20" s="54" t="s">
        <v>2</v>
      </c>
      <c r="J20" s="55">
        <v>1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6">
        <f t="shared" si="3"/>
        <v>1</v>
      </c>
      <c r="W20" s="91">
        <f t="shared" ref="W20" si="5">IF(V21=0,0,V21/V20)</f>
        <v>1</v>
      </c>
      <c r="X20" s="57">
        <f>SUM(J20:U20)</f>
        <v>1</v>
      </c>
      <c r="Y20" s="91">
        <f>IF(X21=0,0,X21/X20)</f>
        <v>1</v>
      </c>
      <c r="Z20" s="92"/>
      <c r="AA20" s="151"/>
      <c r="AB20" s="87"/>
      <c r="AC20" s="87"/>
    </row>
    <row r="21" spans="1:30" s="58" customFormat="1" x14ac:dyDescent="0.2">
      <c r="A21" s="151"/>
      <c r="B21" s="231"/>
      <c r="C21" s="232"/>
      <c r="D21" s="232"/>
      <c r="E21" s="232"/>
      <c r="F21" s="233"/>
      <c r="G21" s="164"/>
      <c r="H21" s="151"/>
      <c r="I21" s="54" t="s">
        <v>3</v>
      </c>
      <c r="J21" s="59">
        <v>1</v>
      </c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6">
        <f t="shared" si="3"/>
        <v>1</v>
      </c>
      <c r="W21" s="91"/>
      <c r="X21" s="57">
        <f>SUM(J21:U21)</f>
        <v>1</v>
      </c>
      <c r="Y21" s="91"/>
      <c r="Z21" s="92"/>
      <c r="AA21" s="151"/>
      <c r="AB21" s="87"/>
      <c r="AC21" s="87"/>
    </row>
    <row r="22" spans="1:30" s="58" customFormat="1" x14ac:dyDescent="0.2">
      <c r="A22" s="151">
        <v>3</v>
      </c>
      <c r="B22" s="162" t="s">
        <v>56</v>
      </c>
      <c r="C22" s="162"/>
      <c r="D22" s="162"/>
      <c r="E22" s="162"/>
      <c r="F22" s="162"/>
      <c r="G22" s="163">
        <v>1</v>
      </c>
      <c r="H22" s="151" t="s">
        <v>54</v>
      </c>
      <c r="I22" s="54" t="s">
        <v>2</v>
      </c>
      <c r="J22" s="55">
        <v>1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6">
        <f t="shared" si="3"/>
        <v>1</v>
      </c>
      <c r="W22" s="91">
        <f t="shared" ref="W22" si="6">IF(V23=0,0,V23/V22)</f>
        <v>1</v>
      </c>
      <c r="X22" s="57">
        <f>SUM(J22:U22)</f>
        <v>1</v>
      </c>
      <c r="Y22" s="91">
        <f>IF(X23=0,0,X23/X22)</f>
        <v>1</v>
      </c>
      <c r="Z22" s="92"/>
      <c r="AA22" s="151"/>
      <c r="AB22" s="87"/>
      <c r="AC22" s="87"/>
    </row>
    <row r="23" spans="1:30" s="58" customFormat="1" x14ac:dyDescent="0.2">
      <c r="A23" s="151"/>
      <c r="B23" s="162"/>
      <c r="C23" s="162"/>
      <c r="D23" s="162"/>
      <c r="E23" s="162"/>
      <c r="F23" s="162"/>
      <c r="G23" s="163"/>
      <c r="H23" s="151"/>
      <c r="I23" s="54" t="s">
        <v>3</v>
      </c>
      <c r="J23" s="59">
        <v>1</v>
      </c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6">
        <f t="shared" si="3"/>
        <v>1</v>
      </c>
      <c r="W23" s="91"/>
      <c r="X23" s="57">
        <f t="shared" ref="X23" si="7">SUM(J23:U23)</f>
        <v>1</v>
      </c>
      <c r="Y23" s="91"/>
      <c r="Z23" s="92"/>
      <c r="AA23" s="151"/>
      <c r="AB23" s="87"/>
      <c r="AC23" s="87"/>
    </row>
    <row r="24" spans="1:30" s="58" customFormat="1" ht="21.75" customHeight="1" x14ac:dyDescent="0.2">
      <c r="A24" s="151">
        <v>4</v>
      </c>
      <c r="B24" s="228" t="s">
        <v>57</v>
      </c>
      <c r="C24" s="229"/>
      <c r="D24" s="229"/>
      <c r="E24" s="229"/>
      <c r="F24" s="230"/>
      <c r="G24" s="163">
        <v>12</v>
      </c>
      <c r="H24" s="151" t="s">
        <v>58</v>
      </c>
      <c r="I24" s="54" t="s">
        <v>2</v>
      </c>
      <c r="J24" s="55">
        <v>12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6">
        <f t="shared" si="3"/>
        <v>12</v>
      </c>
      <c r="W24" s="91">
        <f t="shared" ref="W24" si="8">IF(V25=0,0,V25/V24)</f>
        <v>1</v>
      </c>
      <c r="X24" s="57">
        <f t="shared" si="4"/>
        <v>12</v>
      </c>
      <c r="Y24" s="91">
        <f>IF(X25=0,0,X25/X24)</f>
        <v>1</v>
      </c>
      <c r="Z24" s="92"/>
      <c r="AA24" s="151"/>
      <c r="AB24" s="87" t="s">
        <v>64</v>
      </c>
      <c r="AC24" s="87"/>
    </row>
    <row r="25" spans="1:30" s="58" customFormat="1" x14ac:dyDescent="0.2">
      <c r="A25" s="151"/>
      <c r="B25" s="231"/>
      <c r="C25" s="232"/>
      <c r="D25" s="232"/>
      <c r="E25" s="232"/>
      <c r="F25" s="233"/>
      <c r="G25" s="163"/>
      <c r="H25" s="151"/>
      <c r="I25" s="54" t="s">
        <v>3</v>
      </c>
      <c r="J25" s="59">
        <v>12</v>
      </c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6">
        <f t="shared" si="3"/>
        <v>12</v>
      </c>
      <c r="W25" s="91"/>
      <c r="X25" s="57">
        <f t="shared" si="4"/>
        <v>12</v>
      </c>
      <c r="Y25" s="91"/>
      <c r="Z25" s="92"/>
      <c r="AA25" s="151"/>
      <c r="AB25" s="87"/>
      <c r="AC25" s="87"/>
    </row>
    <row r="26" spans="1:30" s="58" customFormat="1" ht="60.95" customHeight="1" x14ac:dyDescent="0.2">
      <c r="A26" s="151">
        <v>5</v>
      </c>
      <c r="B26" s="228" t="s">
        <v>59</v>
      </c>
      <c r="C26" s="229"/>
      <c r="D26" s="229"/>
      <c r="E26" s="229"/>
      <c r="F26" s="230"/>
      <c r="G26" s="163">
        <v>199460</v>
      </c>
      <c r="H26" s="151" t="s">
        <v>60</v>
      </c>
      <c r="I26" s="54" t="s">
        <v>2</v>
      </c>
      <c r="J26" s="55">
        <v>199460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>
        <f t="shared" si="3"/>
        <v>199460</v>
      </c>
      <c r="W26" s="91">
        <f t="shared" ref="W26" si="9">IF(V27=0,0,V27/V26)</f>
        <v>0.98836859520705911</v>
      </c>
      <c r="X26" s="57">
        <f t="shared" si="4"/>
        <v>199460</v>
      </c>
      <c r="Y26" s="91">
        <f>IF(X27=0,0,X27/X26)</f>
        <v>0.98836859520705911</v>
      </c>
      <c r="Z26" s="234" t="s">
        <v>61</v>
      </c>
      <c r="AA26" s="151"/>
      <c r="AB26" s="87" t="s">
        <v>65</v>
      </c>
      <c r="AC26" s="87"/>
    </row>
    <row r="27" spans="1:30" s="58" customFormat="1" ht="60.95" customHeight="1" x14ac:dyDescent="0.2">
      <c r="A27" s="151"/>
      <c r="B27" s="231"/>
      <c r="C27" s="232"/>
      <c r="D27" s="232"/>
      <c r="E27" s="232"/>
      <c r="F27" s="233"/>
      <c r="G27" s="163"/>
      <c r="H27" s="151"/>
      <c r="I27" s="54" t="s">
        <v>3</v>
      </c>
      <c r="J27" s="59">
        <v>197140</v>
      </c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6">
        <f t="shared" si="3"/>
        <v>197140</v>
      </c>
      <c r="W27" s="91"/>
      <c r="X27" s="57">
        <f t="shared" si="4"/>
        <v>197140</v>
      </c>
      <c r="Y27" s="91"/>
      <c r="Z27" s="234"/>
      <c r="AA27" s="151"/>
      <c r="AB27" s="87"/>
      <c r="AC27" s="87"/>
    </row>
    <row r="28" spans="1:30" s="58" customFormat="1" ht="21.75" customHeight="1" x14ac:dyDescent="0.2">
      <c r="A28" s="151">
        <v>6</v>
      </c>
      <c r="B28" s="228" t="s">
        <v>62</v>
      </c>
      <c r="C28" s="229"/>
      <c r="D28" s="229"/>
      <c r="E28" s="229"/>
      <c r="F28" s="230"/>
      <c r="G28" s="164">
        <v>1</v>
      </c>
      <c r="H28" s="151" t="s">
        <v>54</v>
      </c>
      <c r="I28" s="54" t="s">
        <v>2</v>
      </c>
      <c r="J28" s="55">
        <v>1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6">
        <f t="shared" si="3"/>
        <v>1</v>
      </c>
      <c r="W28" s="91">
        <f t="shared" ref="W28" si="10">IF(V29=0,0,V29/V28)</f>
        <v>1</v>
      </c>
      <c r="X28" s="57">
        <f>SUM(J28:U28)</f>
        <v>1</v>
      </c>
      <c r="Y28" s="91">
        <f>IF(X29=0,0,X29/X28)</f>
        <v>1</v>
      </c>
      <c r="Z28" s="92"/>
      <c r="AA28" s="151"/>
      <c r="AB28" s="87"/>
      <c r="AC28" s="87"/>
    </row>
    <row r="29" spans="1:30" s="58" customFormat="1" x14ac:dyDescent="0.2">
      <c r="A29" s="151"/>
      <c r="B29" s="231"/>
      <c r="C29" s="232"/>
      <c r="D29" s="232"/>
      <c r="E29" s="232"/>
      <c r="F29" s="233"/>
      <c r="G29" s="164"/>
      <c r="H29" s="151"/>
      <c r="I29" s="54" t="s">
        <v>3</v>
      </c>
      <c r="J29" s="59">
        <v>1</v>
      </c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6">
        <f t="shared" si="3"/>
        <v>1</v>
      </c>
      <c r="W29" s="91"/>
      <c r="X29" s="57">
        <f>SUM(J29:U29)</f>
        <v>1</v>
      </c>
      <c r="Y29" s="91"/>
      <c r="Z29" s="92"/>
      <c r="AA29" s="151"/>
      <c r="AB29" s="87"/>
      <c r="AC29" s="87"/>
    </row>
    <row r="30" spans="1:30" s="58" customFormat="1" ht="21.75" customHeight="1" x14ac:dyDescent="0.2">
      <c r="A30" s="151">
        <v>7</v>
      </c>
      <c r="B30" s="228" t="s">
        <v>63</v>
      </c>
      <c r="C30" s="229"/>
      <c r="D30" s="229"/>
      <c r="E30" s="229"/>
      <c r="F30" s="230"/>
      <c r="G30" s="164">
        <v>3</v>
      </c>
      <c r="H30" s="151" t="s">
        <v>54</v>
      </c>
      <c r="I30" s="54" t="s">
        <v>2</v>
      </c>
      <c r="J30" s="55"/>
      <c r="K30" s="55"/>
      <c r="L30" s="55"/>
      <c r="M30" s="55"/>
      <c r="N30" s="55"/>
      <c r="O30" s="55"/>
      <c r="P30" s="55">
        <v>1</v>
      </c>
      <c r="Q30" s="55"/>
      <c r="R30" s="55"/>
      <c r="S30" s="55">
        <v>1</v>
      </c>
      <c r="T30" s="55"/>
      <c r="U30" s="55">
        <v>1</v>
      </c>
      <c r="V30" s="56">
        <f t="shared" si="3"/>
        <v>3</v>
      </c>
      <c r="W30" s="91">
        <f t="shared" ref="W30" si="11">IF(V31=0,0,V31/V30)</f>
        <v>1</v>
      </c>
      <c r="X30" s="57">
        <f t="shared" si="4"/>
        <v>3</v>
      </c>
      <c r="Y30" s="91">
        <f>IF(X31=0,0,X31/X30)</f>
        <v>1</v>
      </c>
      <c r="Z30" s="92"/>
      <c r="AA30" s="151"/>
      <c r="AB30" s="87"/>
      <c r="AC30" s="87"/>
    </row>
    <row r="31" spans="1:30" s="58" customFormat="1" x14ac:dyDescent="0.2">
      <c r="A31" s="151"/>
      <c r="B31" s="231"/>
      <c r="C31" s="232"/>
      <c r="D31" s="232"/>
      <c r="E31" s="232"/>
      <c r="F31" s="233"/>
      <c r="G31" s="164"/>
      <c r="H31" s="151"/>
      <c r="I31" s="54" t="s">
        <v>3</v>
      </c>
      <c r="J31" s="59"/>
      <c r="K31" s="59"/>
      <c r="L31" s="59"/>
      <c r="M31" s="59"/>
      <c r="N31" s="59"/>
      <c r="O31" s="59"/>
      <c r="P31" s="59">
        <v>1</v>
      </c>
      <c r="Q31" s="59"/>
      <c r="R31" s="59"/>
      <c r="S31" s="59">
        <v>1</v>
      </c>
      <c r="T31" s="59"/>
      <c r="U31" s="59">
        <v>1</v>
      </c>
      <c r="V31" s="56">
        <f t="shared" si="3"/>
        <v>3</v>
      </c>
      <c r="W31" s="91"/>
      <c r="X31" s="57">
        <f t="shared" si="4"/>
        <v>3</v>
      </c>
      <c r="Y31" s="91"/>
      <c r="Z31" s="92"/>
      <c r="AA31" s="151"/>
      <c r="AB31" s="87"/>
      <c r="AC31" s="87"/>
    </row>
    <row r="32" spans="1:30" s="50" customFormat="1" x14ac:dyDescent="0.2">
      <c r="A32" s="152" t="s">
        <v>20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29">
        <f>AVERAGE(W18:W31)</f>
        <v>0.99833837074386556</v>
      </c>
      <c r="X32" s="60">
        <f>SUM(L32:V32)</f>
        <v>0</v>
      </c>
      <c r="Y32" s="29">
        <f>AVERAGE(Y18:Y31)</f>
        <v>0.99833837074386556</v>
      </c>
      <c r="Z32" s="49"/>
      <c r="AA32" s="49"/>
      <c r="AB32" s="12"/>
      <c r="AC32" s="12"/>
    </row>
    <row r="33" spans="1:29" s="51" customFormat="1" ht="126" hidden="1" customHeight="1" x14ac:dyDescent="0.2">
      <c r="A33" s="153" t="s">
        <v>38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</row>
    <row r="34" spans="1:29" ht="89.25" hidden="1" customHeight="1" x14ac:dyDescent="0.5"/>
    <row r="39" spans="1:29" x14ac:dyDescent="0.5">
      <c r="J39" s="26"/>
    </row>
    <row r="40" spans="1:29" x14ac:dyDescent="0.5">
      <c r="J40" s="26"/>
    </row>
    <row r="41" spans="1:29" x14ac:dyDescent="0.5">
      <c r="J41" s="26"/>
    </row>
    <row r="42" spans="1:29" x14ac:dyDescent="0.5">
      <c r="J42" s="26"/>
    </row>
    <row r="43" spans="1:29" x14ac:dyDescent="0.5">
      <c r="J43" s="26"/>
    </row>
    <row r="44" spans="1:29" x14ac:dyDescent="0.5">
      <c r="J44" s="26"/>
    </row>
    <row r="45" spans="1:29" x14ac:dyDescent="0.5">
      <c r="J45" s="26"/>
    </row>
    <row r="46" spans="1:29" x14ac:dyDescent="0.5">
      <c r="J46" s="26"/>
    </row>
    <row r="47" spans="1:29" x14ac:dyDescent="0.5">
      <c r="J47" s="26"/>
    </row>
    <row r="48" spans="1:29" x14ac:dyDescent="0.5">
      <c r="J48" s="26"/>
    </row>
    <row r="49" spans="9:10" x14ac:dyDescent="0.5">
      <c r="J49" s="26"/>
    </row>
    <row r="50" spans="9:10" x14ac:dyDescent="0.5">
      <c r="J50" s="26"/>
    </row>
    <row r="51" spans="9:10" x14ac:dyDescent="0.5">
      <c r="I51" s="39"/>
      <c r="J51" s="61"/>
    </row>
  </sheetData>
  <mergeCells count="128">
    <mergeCell ref="A1:AC1"/>
    <mergeCell ref="A2:B2"/>
    <mergeCell ref="C2:K2"/>
    <mergeCell ref="L2:U2"/>
    <mergeCell ref="A3:B3"/>
    <mergeCell ref="C3:K3"/>
    <mergeCell ref="L3:U3"/>
    <mergeCell ref="V7:W8"/>
    <mergeCell ref="X7:Y8"/>
    <mergeCell ref="Z7:Z8"/>
    <mergeCell ref="AA7:AA8"/>
    <mergeCell ref="AB7:AB8"/>
    <mergeCell ref="AC7:AC8"/>
    <mergeCell ref="A4:B4"/>
    <mergeCell ref="C4:K4"/>
    <mergeCell ref="L4:U4"/>
    <mergeCell ref="A7:A8"/>
    <mergeCell ref="B7:F8"/>
    <mergeCell ref="G7:G8"/>
    <mergeCell ref="H7:H8"/>
    <mergeCell ref="I7:I8"/>
    <mergeCell ref="J7:U7"/>
    <mergeCell ref="Z11:Z12"/>
    <mergeCell ref="AA11:AA12"/>
    <mergeCell ref="AB11:AB12"/>
    <mergeCell ref="AC11:AC12"/>
    <mergeCell ref="A13:V13"/>
    <mergeCell ref="A14:U14"/>
    <mergeCell ref="Z9:Z10"/>
    <mergeCell ref="AA9:AA10"/>
    <mergeCell ref="AB9:AB10"/>
    <mergeCell ref="AC9:AC10"/>
    <mergeCell ref="A11:A12"/>
    <mergeCell ref="B11:F12"/>
    <mergeCell ref="G11:G12"/>
    <mergeCell ref="H11:H12"/>
    <mergeCell ref="W11:W12"/>
    <mergeCell ref="Y11:Y12"/>
    <mergeCell ref="A9:A10"/>
    <mergeCell ref="B9:F10"/>
    <mergeCell ref="G9:G10"/>
    <mergeCell ref="H9:H10"/>
    <mergeCell ref="W9:W10"/>
    <mergeCell ref="Y9:Y10"/>
    <mergeCell ref="V16:W17"/>
    <mergeCell ref="X16:Y17"/>
    <mergeCell ref="Z16:Z17"/>
    <mergeCell ref="AA16:AA17"/>
    <mergeCell ref="AB16:AB17"/>
    <mergeCell ref="AC16:AC17"/>
    <mergeCell ref="A16:A17"/>
    <mergeCell ref="B16:F17"/>
    <mergeCell ref="G16:G17"/>
    <mergeCell ref="H16:H17"/>
    <mergeCell ref="I16:I17"/>
    <mergeCell ref="J16:U16"/>
    <mergeCell ref="AC18:AC19"/>
    <mergeCell ref="A20:A21"/>
    <mergeCell ref="B20:F21"/>
    <mergeCell ref="G20:G21"/>
    <mergeCell ref="H20:H21"/>
    <mergeCell ref="W20:W21"/>
    <mergeCell ref="Y20:Y21"/>
    <mergeCell ref="A18:A19"/>
    <mergeCell ref="B18:F19"/>
    <mergeCell ref="G18:G19"/>
    <mergeCell ref="H18:H19"/>
    <mergeCell ref="W18:W19"/>
    <mergeCell ref="Y18:Y19"/>
    <mergeCell ref="A22:A23"/>
    <mergeCell ref="B22:F23"/>
    <mergeCell ref="G22:G23"/>
    <mergeCell ref="H22:H23"/>
    <mergeCell ref="W22:W23"/>
    <mergeCell ref="Y22:Y23"/>
    <mergeCell ref="Z18:Z19"/>
    <mergeCell ref="AA18:AA19"/>
    <mergeCell ref="AB18:AB19"/>
    <mergeCell ref="B24:F25"/>
    <mergeCell ref="G24:G25"/>
    <mergeCell ref="H24:H25"/>
    <mergeCell ref="W24:W25"/>
    <mergeCell ref="Y24:Y25"/>
    <mergeCell ref="Z20:Z21"/>
    <mergeCell ref="AA20:AA21"/>
    <mergeCell ref="AB20:AB21"/>
    <mergeCell ref="AC20:AC21"/>
    <mergeCell ref="A33:AC33"/>
    <mergeCell ref="Z28:Z29"/>
    <mergeCell ref="AA28:AA29"/>
    <mergeCell ref="AB28:AB29"/>
    <mergeCell ref="AC28:AC29"/>
    <mergeCell ref="A30:A31"/>
    <mergeCell ref="B30:F31"/>
    <mergeCell ref="G30:G31"/>
    <mergeCell ref="H30:H31"/>
    <mergeCell ref="W30:W31"/>
    <mergeCell ref="Y30:Y31"/>
    <mergeCell ref="A28:A29"/>
    <mergeCell ref="B28:F29"/>
    <mergeCell ref="G28:G29"/>
    <mergeCell ref="H28:H29"/>
    <mergeCell ref="W28:W29"/>
    <mergeCell ref="Y28:Y29"/>
    <mergeCell ref="Z22:Z23"/>
    <mergeCell ref="AA22:AA23"/>
    <mergeCell ref="AB22:AB23"/>
    <mergeCell ref="AC22:AC23"/>
    <mergeCell ref="Z30:Z31"/>
    <mergeCell ref="AA30:AA31"/>
    <mergeCell ref="AB30:AB31"/>
    <mergeCell ref="AC30:AC31"/>
    <mergeCell ref="A32:V32"/>
    <mergeCell ref="Z26:Z27"/>
    <mergeCell ref="AA26:AA27"/>
    <mergeCell ref="AB26:AB27"/>
    <mergeCell ref="AC26:AC27"/>
    <mergeCell ref="Z24:Z25"/>
    <mergeCell ref="AA24:AA25"/>
    <mergeCell ref="AB24:AB25"/>
    <mergeCell ref="AC24:AC25"/>
    <mergeCell ref="A26:A27"/>
    <mergeCell ref="B26:F27"/>
    <mergeCell ref="G26:G27"/>
    <mergeCell ref="H26:H27"/>
    <mergeCell ref="W26:W27"/>
    <mergeCell ref="Y26:Y27"/>
    <mergeCell ref="A24:A25"/>
  </mergeCells>
  <pageMargins left="0.43307086614173229" right="0.23622047244094491" top="0.74803149606299213" bottom="0.74803149606299213" header="0.31496062992125984" footer="0.31496062992125984"/>
  <pageSetup paperSize="9" scale="52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ตัวชี้วัดที่ 1</vt:lpstr>
      <vt:lpstr>ตย.ตัวชี้วัดปลูกแทน</vt:lpstr>
      <vt:lpstr>ตย.ตัวชี้วัดงบลงทุน</vt:lpstr>
      <vt:lpstr>ตย.ตัวชี้วัดงบลงทุน!Print_Area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Bung</dc:creator>
  <cp:lastModifiedBy>USER</cp:lastModifiedBy>
  <cp:lastPrinted>2023-12-28T01:59:51Z</cp:lastPrinted>
  <dcterms:created xsi:type="dcterms:W3CDTF">2022-04-26T08:29:33Z</dcterms:created>
  <dcterms:modified xsi:type="dcterms:W3CDTF">2024-09-12T02:25:15Z</dcterms:modified>
</cp:coreProperties>
</file>